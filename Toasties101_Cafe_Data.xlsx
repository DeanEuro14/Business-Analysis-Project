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sacorp-my.sharepoint.com/personal/aldean_smith_absa_africa/Documents/Desktop/BA Projects/Toasters101/"/>
    </mc:Choice>
  </mc:AlternateContent>
  <xr:revisionPtr revIDLastSave="1" documentId="8_{386C7ABE-B7D0-46E1-A433-93DA6A95E03A}" xr6:coauthVersionLast="47" xr6:coauthVersionMax="47" xr10:uidLastSave="{9B0FD04C-C43C-4BAE-A3D2-992F130AE207}"/>
  <bookViews>
    <workbookView xWindow="-90" yWindow="0" windowWidth="9780" windowHeight="10170" firstSheet="1" activeTab="1" xr2:uid="{00000000-000D-0000-FFFF-FFFF00000000}"/>
  </bookViews>
  <sheets>
    <sheet name="Products" sheetId="1" r:id="rId1"/>
    <sheet name="Inventory" sheetId="2" r:id="rId2"/>
    <sheet name="Sales" sheetId="3" r:id="rId3"/>
    <sheet name="Customer_Tab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G15" i="3" s="1"/>
  <c r="C12" i="4" s="1"/>
  <c r="D14" i="3"/>
  <c r="G14" i="3" s="1"/>
  <c r="C11" i="4" s="1"/>
  <c r="D13" i="3"/>
  <c r="G13" i="3" s="1"/>
  <c r="C10" i="4" s="1"/>
  <c r="D12" i="3"/>
  <c r="G12" i="3" s="1"/>
  <c r="G11" i="3"/>
  <c r="D11" i="3"/>
  <c r="D10" i="3"/>
  <c r="G10" i="3" s="1"/>
  <c r="D9" i="3"/>
  <c r="G9" i="3" s="1"/>
  <c r="C9" i="4" s="1"/>
  <c r="D94" i="2"/>
  <c r="E94" i="2" s="1"/>
  <c r="C94" i="2"/>
  <c r="D93" i="2" s="1"/>
  <c r="E93" i="2" s="1"/>
  <c r="C93" i="2"/>
  <c r="D92" i="2" s="1"/>
  <c r="E92" i="2" s="1"/>
  <c r="C92" i="2"/>
  <c r="D91" i="2" s="1"/>
  <c r="E91" i="2" s="1"/>
  <c r="C91" i="2"/>
  <c r="D90" i="2" s="1"/>
  <c r="E90" i="2" s="1"/>
  <c r="C90" i="2"/>
  <c r="D89" i="2" s="1"/>
  <c r="E89" i="2" s="1"/>
  <c r="C89" i="2"/>
  <c r="D88" i="2" s="1"/>
  <c r="E88" i="2" s="1"/>
  <c r="C88" i="2"/>
  <c r="D87" i="2" s="1"/>
  <c r="E87" i="2" s="1"/>
  <c r="C87" i="2"/>
  <c r="D86" i="2" s="1"/>
  <c r="E86" i="2" s="1"/>
  <c r="C86" i="2"/>
  <c r="D85" i="2" s="1"/>
  <c r="E85" i="2" s="1"/>
  <c r="C85" i="2"/>
  <c r="D84" i="2" s="1"/>
  <c r="E84" i="2" s="1"/>
  <c r="C84" i="2"/>
  <c r="D83" i="2" s="1"/>
  <c r="E83" i="2" s="1"/>
  <c r="C83" i="2"/>
  <c r="D82" i="2" s="1"/>
  <c r="E82" i="2" s="1"/>
  <c r="C82" i="2"/>
  <c r="D81" i="2" s="1"/>
  <c r="E81" i="2" s="1"/>
  <c r="C81" i="2"/>
  <c r="D80" i="2" s="1"/>
  <c r="E80" i="2" s="1"/>
  <c r="C80" i="2"/>
  <c r="D79" i="2" s="1"/>
  <c r="E79" i="2" s="1"/>
  <c r="C79" i="2"/>
  <c r="D78" i="2" s="1"/>
  <c r="E78" i="2" s="1"/>
  <c r="C78" i="2"/>
  <c r="D77" i="2" s="1"/>
  <c r="E77" i="2" s="1"/>
  <c r="C77" i="2"/>
  <c r="D76" i="2" s="1"/>
  <c r="E76" i="2" s="1"/>
  <c r="C76" i="2"/>
  <c r="D75" i="2" s="1"/>
  <c r="E75" i="2" s="1"/>
  <c r="C75" i="2"/>
  <c r="D74" i="2" s="1"/>
  <c r="E74" i="2" s="1"/>
  <c r="C74" i="2"/>
  <c r="D73" i="2" s="1"/>
  <c r="E73" i="2" s="1"/>
  <c r="C73" i="2"/>
  <c r="D72" i="2" s="1"/>
  <c r="E72" i="2" s="1"/>
  <c r="C72" i="2"/>
  <c r="D71" i="2" s="1"/>
  <c r="E71" i="2" s="1"/>
  <c r="C71" i="2"/>
  <c r="D70" i="2" s="1"/>
  <c r="E70" i="2" s="1"/>
  <c r="C70" i="2"/>
  <c r="D69" i="2" s="1"/>
  <c r="E69" i="2" s="1"/>
  <c r="C69" i="2"/>
  <c r="D68" i="2" s="1"/>
  <c r="E68" i="2" s="1"/>
  <c r="C68" i="2"/>
  <c r="D67" i="2" s="1"/>
  <c r="E67" i="2" s="1"/>
  <c r="C67" i="2"/>
  <c r="D66" i="2" s="1"/>
  <c r="E66" i="2" s="1"/>
  <c r="C66" i="2"/>
  <c r="D65" i="2" s="1"/>
  <c r="E65" i="2" s="1"/>
  <c r="C65" i="2"/>
  <c r="D64" i="2" s="1"/>
  <c r="E64" i="2" s="1"/>
  <c r="C64" i="2"/>
  <c r="D63" i="2" s="1"/>
  <c r="E63" i="2" s="1"/>
  <c r="C63" i="2"/>
  <c r="D62" i="2" s="1"/>
  <c r="E62" i="2" s="1"/>
  <c r="C62" i="2"/>
  <c r="D61" i="2" s="1"/>
  <c r="E61" i="2" s="1"/>
  <c r="C61" i="2"/>
  <c r="D60" i="2" s="1"/>
  <c r="E60" i="2" s="1"/>
  <c r="C60" i="2"/>
  <c r="D59" i="2" s="1"/>
  <c r="E59" i="2" s="1"/>
  <c r="C59" i="2"/>
  <c r="D58" i="2" s="1"/>
  <c r="E58" i="2" s="1"/>
  <c r="C58" i="2"/>
  <c r="D57" i="2" s="1"/>
  <c r="E57" i="2" s="1"/>
  <c r="C57" i="2"/>
  <c r="D56" i="2" s="1"/>
  <c r="E56" i="2" s="1"/>
  <c r="C56" i="2"/>
  <c r="D55" i="2" s="1"/>
  <c r="E55" i="2" s="1"/>
  <c r="C55" i="2"/>
  <c r="D54" i="2" s="1"/>
  <c r="E54" i="2" s="1"/>
  <c r="C54" i="2"/>
  <c r="D53" i="2" s="1"/>
  <c r="E53" i="2" s="1"/>
  <c r="C53" i="2"/>
  <c r="D52" i="2" s="1"/>
  <c r="E52" i="2" s="1"/>
  <c r="C52" i="2"/>
  <c r="D51" i="2" s="1"/>
  <c r="E51" i="2" s="1"/>
  <c r="C51" i="2"/>
  <c r="D50" i="2" s="1"/>
  <c r="E50" i="2" s="1"/>
  <c r="C50" i="2"/>
  <c r="D49" i="2" s="1"/>
  <c r="E49" i="2" s="1"/>
  <c r="C49" i="2"/>
  <c r="D48" i="2" s="1"/>
  <c r="E48" i="2" s="1"/>
  <c r="C48" i="2"/>
  <c r="D47" i="2" s="1"/>
  <c r="E47" i="2" s="1"/>
  <c r="C47" i="2"/>
  <c r="D46" i="2" s="1"/>
  <c r="E46" i="2" s="1"/>
  <c r="C46" i="2"/>
  <c r="D45" i="2" s="1"/>
  <c r="E45" i="2" s="1"/>
  <c r="C45" i="2"/>
  <c r="D44" i="2" s="1"/>
  <c r="E44" i="2" s="1"/>
  <c r="C44" i="2"/>
  <c r="D43" i="2" s="1"/>
  <c r="E43" i="2" s="1"/>
  <c r="C43" i="2"/>
  <c r="D42" i="2" s="1"/>
  <c r="E42" i="2" s="1"/>
  <c r="C42" i="2"/>
  <c r="D41" i="2" s="1"/>
  <c r="E41" i="2" s="1"/>
  <c r="C41" i="2"/>
  <c r="D40" i="2" s="1"/>
  <c r="E40" i="2" s="1"/>
  <c r="C40" i="2"/>
  <c r="D39" i="2" s="1"/>
  <c r="E39" i="2" s="1"/>
  <c r="C39" i="2"/>
  <c r="D38" i="2" s="1"/>
  <c r="E38" i="2" s="1"/>
  <c r="C38" i="2"/>
  <c r="D37" i="2" s="1"/>
  <c r="E37" i="2" s="1"/>
  <c r="C37" i="2"/>
  <c r="D36" i="2" s="1"/>
  <c r="E36" i="2" s="1"/>
  <c r="C36" i="2"/>
  <c r="D35" i="2" s="1"/>
  <c r="E35" i="2" s="1"/>
  <c r="C35" i="2"/>
  <c r="D34" i="2" s="1"/>
  <c r="E34" i="2" s="1"/>
  <c r="C34" i="2"/>
  <c r="D33" i="2" s="1"/>
  <c r="E33" i="2" s="1"/>
  <c r="C33" i="2"/>
  <c r="D32" i="2" s="1"/>
  <c r="E32" i="2" s="1"/>
  <c r="C32" i="2"/>
  <c r="D31" i="2" s="1"/>
  <c r="E31" i="2" s="1"/>
  <c r="C31" i="2"/>
  <c r="D30" i="2" s="1"/>
  <c r="E30" i="2" s="1"/>
  <c r="C30" i="2"/>
  <c r="D29" i="2" s="1"/>
  <c r="E29" i="2" s="1"/>
  <c r="C29" i="2"/>
  <c r="D28" i="2" s="1"/>
  <c r="E28" i="2" s="1"/>
  <c r="C28" i="2"/>
  <c r="D27" i="2" s="1"/>
  <c r="E27" i="2" s="1"/>
  <c r="C27" i="2"/>
  <c r="D26" i="2" s="1"/>
  <c r="E26" i="2" s="1"/>
  <c r="C26" i="2"/>
  <c r="D25" i="2" s="1"/>
  <c r="E25" i="2" s="1"/>
  <c r="C25" i="2"/>
  <c r="D24" i="2" s="1"/>
  <c r="E24" i="2" s="1"/>
  <c r="C24" i="2"/>
  <c r="D23" i="2" s="1"/>
  <c r="E23" i="2" s="1"/>
  <c r="C23" i="2"/>
  <c r="D22" i="2" s="1"/>
  <c r="E22" i="2" s="1"/>
  <c r="C22" i="2"/>
  <c r="D21" i="2" s="1"/>
  <c r="E21" i="2" s="1"/>
  <c r="C21" i="2"/>
  <c r="D20" i="2" s="1"/>
  <c r="E20" i="2" s="1"/>
  <c r="C20" i="2"/>
  <c r="D19" i="2" s="1"/>
  <c r="E19" i="2" s="1"/>
  <c r="C19" i="2"/>
  <c r="D18" i="2" s="1"/>
  <c r="E18" i="2" s="1"/>
  <c r="C18" i="2"/>
  <c r="D17" i="2" s="1"/>
  <c r="E17" i="2" s="1"/>
  <c r="C17" i="2"/>
  <c r="D16" i="2" s="1"/>
  <c r="E16" i="2" s="1"/>
  <c r="C16" i="2"/>
  <c r="D15" i="2" s="1"/>
  <c r="E15" i="2" s="1"/>
  <c r="C15" i="2"/>
  <c r="D14" i="2" s="1"/>
  <c r="E14" i="2" s="1"/>
  <c r="C14" i="2"/>
  <c r="D13" i="2" s="1"/>
  <c r="E13" i="2" s="1"/>
  <c r="C13" i="2"/>
  <c r="D12" i="2" s="1"/>
  <c r="E12" i="2" s="1"/>
  <c r="C12" i="2"/>
  <c r="D11" i="2" s="1"/>
  <c r="E11" i="2" s="1"/>
  <c r="C11" i="2"/>
  <c r="D10" i="2" s="1"/>
  <c r="E10" i="2" s="1"/>
  <c r="C10" i="2"/>
  <c r="D9" i="2" s="1"/>
  <c r="E9" i="2" s="1"/>
  <c r="C9" i="2"/>
</calcChain>
</file>

<file path=xl/sharedStrings.xml><?xml version="1.0" encoding="utf-8"?>
<sst xmlns="http://schemas.openxmlformats.org/spreadsheetml/2006/main" count="406" uniqueCount="219">
  <si>
    <t>Toasters101</t>
  </si>
  <si>
    <t>Products</t>
  </si>
  <si>
    <t>Product_ID</t>
  </si>
  <si>
    <t>Product Name</t>
  </si>
  <si>
    <t>Category</t>
  </si>
  <si>
    <t>Price</t>
  </si>
  <si>
    <t>Cost</t>
  </si>
  <si>
    <t>P001</t>
  </si>
  <si>
    <t>Espresso Small</t>
  </si>
  <si>
    <t>Hot Drink</t>
  </si>
  <si>
    <t>P002</t>
  </si>
  <si>
    <t>Espresso Regular</t>
  </si>
  <si>
    <t>P003</t>
  </si>
  <si>
    <t>Espresso Large</t>
  </si>
  <si>
    <t>P004</t>
  </si>
  <si>
    <t>Americano Small</t>
  </si>
  <si>
    <t>P005</t>
  </si>
  <si>
    <t>Americano Regular</t>
  </si>
  <si>
    <t>P006</t>
  </si>
  <si>
    <t>Americano Large</t>
  </si>
  <si>
    <t>P007</t>
  </si>
  <si>
    <t>Cappuccino Small</t>
  </si>
  <si>
    <t>P008</t>
  </si>
  <si>
    <t>Cappuccino Regular</t>
  </si>
  <si>
    <t>P009</t>
  </si>
  <si>
    <t>Cappuccino Large</t>
  </si>
  <si>
    <t>P010</t>
  </si>
  <si>
    <t>Latte Small</t>
  </si>
  <si>
    <t>P011</t>
  </si>
  <si>
    <t>Latte Regular</t>
  </si>
  <si>
    <t>P012</t>
  </si>
  <si>
    <t>Latte Large</t>
  </si>
  <si>
    <t>P013</t>
  </si>
  <si>
    <t>Mocha Small</t>
  </si>
  <si>
    <t>P014</t>
  </si>
  <si>
    <t>Mocha Regular</t>
  </si>
  <si>
    <t>P015</t>
  </si>
  <si>
    <t>Mocha Large</t>
  </si>
  <si>
    <t>P016</t>
  </si>
  <si>
    <t>Chai Latte Small</t>
  </si>
  <si>
    <t>P017</t>
  </si>
  <si>
    <t>Chai Latte Regular</t>
  </si>
  <si>
    <t>P018</t>
  </si>
  <si>
    <t>Chai Latte Large</t>
  </si>
  <si>
    <t>P019</t>
  </si>
  <si>
    <t>Flat White Small</t>
  </si>
  <si>
    <t>P020</t>
  </si>
  <si>
    <t>Flat White Regular</t>
  </si>
  <si>
    <t>P021</t>
  </si>
  <si>
    <t>Flat White Large</t>
  </si>
  <si>
    <t>P022</t>
  </si>
  <si>
    <t>Hot Chocolate Small</t>
  </si>
  <si>
    <t>P023</t>
  </si>
  <si>
    <t>Hot Chocolate Regular</t>
  </si>
  <si>
    <t>P024</t>
  </si>
  <si>
    <t>Hot Chocolate Large</t>
  </si>
  <si>
    <t>P025</t>
  </si>
  <si>
    <t>Rooibos Tea</t>
  </si>
  <si>
    <t>P026</t>
  </si>
  <si>
    <t>English Breakfast Tea</t>
  </si>
  <si>
    <t>P027</t>
  </si>
  <si>
    <t>Earl Grey Tea</t>
  </si>
  <si>
    <t>P028</t>
  </si>
  <si>
    <t>Green Tea</t>
  </si>
  <si>
    <t>P029</t>
  </si>
  <si>
    <t>Honeybush Tea</t>
  </si>
  <si>
    <t>P030</t>
  </si>
  <si>
    <t>Peppermint Tea</t>
  </si>
  <si>
    <t>P031</t>
  </si>
  <si>
    <t>Iced Americano Regular</t>
  </si>
  <si>
    <t>Iced Coffee</t>
  </si>
  <si>
    <t>P032</t>
  </si>
  <si>
    <t>Iced Americano Large</t>
  </si>
  <si>
    <t>P033</t>
  </si>
  <si>
    <t>Iced Latte Regular</t>
  </si>
  <si>
    <t>P034</t>
  </si>
  <si>
    <t>Iced Latte Large</t>
  </si>
  <si>
    <t>P035</t>
  </si>
  <si>
    <t>Iced Mocha Regular</t>
  </si>
  <si>
    <t>P036</t>
  </si>
  <si>
    <t>Iced Mocha Large</t>
  </si>
  <si>
    <t>P037</t>
  </si>
  <si>
    <t>Iced Vanilla Latte Regular</t>
  </si>
  <si>
    <t>P038</t>
  </si>
  <si>
    <t>Iced Vanilla Latte Large</t>
  </si>
  <si>
    <t>P039</t>
  </si>
  <si>
    <t>Iced Caramel Latte Regular</t>
  </si>
  <si>
    <t>P040</t>
  </si>
  <si>
    <t>Iced Caramel Latte Large</t>
  </si>
  <si>
    <t>P041</t>
  </si>
  <si>
    <t>Chocolate Milkshake Regular</t>
  </si>
  <si>
    <t>Milkshake</t>
  </si>
  <si>
    <t>P042</t>
  </si>
  <si>
    <t>Chocolate Milkshake Large</t>
  </si>
  <si>
    <t>P043</t>
  </si>
  <si>
    <t>Vanilla Milkshake Regular</t>
  </si>
  <si>
    <t>P044</t>
  </si>
  <si>
    <t>Vanilla Milkshake Large</t>
  </si>
  <si>
    <t>P045</t>
  </si>
  <si>
    <t>Strawberry Milkshake Regular</t>
  </si>
  <si>
    <t>P046</t>
  </si>
  <si>
    <t>Strawberry Milkshake Large</t>
  </si>
  <si>
    <t>P047</t>
  </si>
  <si>
    <t>Banana Milkshake Regular</t>
  </si>
  <si>
    <t>P048</t>
  </si>
  <si>
    <t>Banana Milkshake Large</t>
  </si>
  <si>
    <t>P049</t>
  </si>
  <si>
    <t>Oreo Milkshake Regular</t>
  </si>
  <si>
    <t>P050</t>
  </si>
  <si>
    <t>Oreo Milkshake Large</t>
  </si>
  <si>
    <t>P051</t>
  </si>
  <si>
    <t>Cheese Toastie</t>
  </si>
  <si>
    <t>Toastie</t>
  </si>
  <si>
    <t>P052</t>
  </si>
  <si>
    <t>Cheese &amp; Tomato Toastie</t>
  </si>
  <si>
    <t>P053</t>
  </si>
  <si>
    <t>Ham &amp; Cheese Toastie</t>
  </si>
  <si>
    <t>P054</t>
  </si>
  <si>
    <t>Bacon &amp; Cheese Toastie</t>
  </si>
  <si>
    <t>P055</t>
  </si>
  <si>
    <t>Chicken Mayo Toastie</t>
  </si>
  <si>
    <t>P056</t>
  </si>
  <si>
    <t>Club Toastie</t>
  </si>
  <si>
    <t>P057</t>
  </si>
  <si>
    <t>Plain Croissant</t>
  </si>
  <si>
    <t>Breakfast</t>
  </si>
  <si>
    <t>P058</t>
  </si>
  <si>
    <t>Butter Croissant</t>
  </si>
  <si>
    <t>P059</t>
  </si>
  <si>
    <t>Cheese Croissant</t>
  </si>
  <si>
    <t>P060</t>
  </si>
  <si>
    <t>English Breakfast</t>
  </si>
  <si>
    <t>P061</t>
  </si>
  <si>
    <t>Cheese Omelette</t>
  </si>
  <si>
    <t>P062</t>
  </si>
  <si>
    <t>Bacon &amp; Cheese Omelette</t>
  </si>
  <si>
    <t>P063</t>
  </si>
  <si>
    <t>Chocolate Muffin</t>
  </si>
  <si>
    <t>Bakery</t>
  </si>
  <si>
    <t>P064</t>
  </si>
  <si>
    <t>Blueberry Muffin</t>
  </si>
  <si>
    <t>P065</t>
  </si>
  <si>
    <t>Vanilla Syrup</t>
  </si>
  <si>
    <t>Addon</t>
  </si>
  <si>
    <t>P066</t>
  </si>
  <si>
    <t>Caramel Syrup</t>
  </si>
  <si>
    <t>P067</t>
  </si>
  <si>
    <t>Hazelnut Syrup</t>
  </si>
  <si>
    <t>P068</t>
  </si>
  <si>
    <t>Soya Milk</t>
  </si>
  <si>
    <t>P069</t>
  </si>
  <si>
    <t>Oat Milk</t>
  </si>
  <si>
    <t>P070</t>
  </si>
  <si>
    <t>Almond Milk</t>
  </si>
  <si>
    <t>P071</t>
  </si>
  <si>
    <t>Extra Cheese</t>
  </si>
  <si>
    <t>P072</t>
  </si>
  <si>
    <t>Extra Bacon</t>
  </si>
  <si>
    <t>P073</t>
  </si>
  <si>
    <t>Extra Egg</t>
  </si>
  <si>
    <t>P074</t>
  </si>
  <si>
    <t>Takeaway Cup Charge</t>
  </si>
  <si>
    <t>P075</t>
  </si>
  <si>
    <t>Coke Can</t>
  </si>
  <si>
    <t>Cold Drink</t>
  </si>
  <si>
    <t>P076</t>
  </si>
  <si>
    <t>Sprite Can</t>
  </si>
  <si>
    <t>P077</t>
  </si>
  <si>
    <t>Fanta Can</t>
  </si>
  <si>
    <t>P078</t>
  </si>
  <si>
    <t>Still Water</t>
  </si>
  <si>
    <t>P079</t>
  </si>
  <si>
    <t>Sparkling Water</t>
  </si>
  <si>
    <t>P080</t>
  </si>
  <si>
    <t>Coffee Beans 250g</t>
  </si>
  <si>
    <t>Retail</t>
  </si>
  <si>
    <t>P081</t>
  </si>
  <si>
    <t>Coffee Beans 500g</t>
  </si>
  <si>
    <t>P082</t>
  </si>
  <si>
    <t>Coffee Beans 1kg</t>
  </si>
  <si>
    <t>P083</t>
  </si>
  <si>
    <t>Ground Coffee 250g</t>
  </si>
  <si>
    <t>P084</t>
  </si>
  <si>
    <t>Ground Coffee 500g</t>
  </si>
  <si>
    <t>P085</t>
  </si>
  <si>
    <t>Toasters101 Mug</t>
  </si>
  <si>
    <t>P086</t>
  </si>
  <si>
    <t>Toasties101 Cap</t>
  </si>
  <si>
    <t>Inventory</t>
  </si>
  <si>
    <t>Starting_Stock</t>
  </si>
  <si>
    <t>Quantity_Sold</t>
  </si>
  <si>
    <t>Remaining_Stock</t>
  </si>
  <si>
    <t>Low_Stock_Flag</t>
  </si>
  <si>
    <t>Sales</t>
  </si>
  <si>
    <t>Date</t>
  </si>
  <si>
    <t>Sale_ID</t>
  </si>
  <si>
    <t>Quantity</t>
  </si>
  <si>
    <t>Payment_Type</t>
  </si>
  <si>
    <t>Amount</t>
  </si>
  <si>
    <t>S001</t>
  </si>
  <si>
    <t>Tab</t>
  </si>
  <si>
    <t>S002</t>
  </si>
  <si>
    <t>Card</t>
  </si>
  <si>
    <t>Cash</t>
  </si>
  <si>
    <t>S003</t>
  </si>
  <si>
    <t>S004</t>
  </si>
  <si>
    <t>S005</t>
  </si>
  <si>
    <t>S006</t>
  </si>
  <si>
    <t>Customer Tabs</t>
  </si>
  <si>
    <t>Customer_Name</t>
  </si>
  <si>
    <t>Sales_ID</t>
  </si>
  <si>
    <t>Total</t>
  </si>
  <si>
    <t>Status</t>
  </si>
  <si>
    <t>Diogo Dalot</t>
  </si>
  <si>
    <t>Outstanding</t>
  </si>
  <si>
    <t>Mfundo Vilakazi</t>
  </si>
  <si>
    <t>Paid</t>
  </si>
  <si>
    <t>Tshepo Masilela</t>
  </si>
  <si>
    <t>Tyrell Malacia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</si>
</sst>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7">
    <font>
      <sz val="10"/>
      <color rgb="FF000000"/>
      <name val="Arial"/>
    </font>
    <font>
      <sz val="10"/>
      <color rgb="FF666666"/>
      <name val="Roboto"/>
    </font>
    <font>
      <sz val="10"/>
      <name val="Roboto"/>
    </font>
    <font>
      <sz val="20"/>
      <color rgb="FF6D64E8"/>
      <name val="Roboto"/>
    </font>
    <font>
      <sz val="10"/>
      <name val="Arial"/>
    </font>
    <font>
      <sz val="10"/>
      <color rgb="FF6D64E8"/>
      <name val="Roboto"/>
    </font>
    <font>
      <b/>
      <sz val="34"/>
      <color rgb="FF283592"/>
      <name val="Roboto"/>
    </font>
    <font>
      <b/>
      <sz val="12"/>
      <color rgb="FF434343"/>
      <name val="Roboto"/>
    </font>
    <font>
      <sz val="13"/>
      <color rgb="FF666666"/>
      <name val="Roboto"/>
    </font>
    <font>
      <sz val="11"/>
      <name val="'Segoe UI'"/>
    </font>
    <font>
      <sz val="11"/>
      <name val="Arial"/>
    </font>
    <font>
      <sz val="11"/>
      <name val="Roboto"/>
    </font>
    <font>
      <sz val="12"/>
      <color rgb="FF434343"/>
      <name val="Roboto"/>
    </font>
    <font>
      <sz val="14"/>
      <color rgb="FF666666"/>
      <name val="Roboto"/>
    </font>
    <font>
      <sz val="14"/>
      <name val="Roboto"/>
    </font>
    <font>
      <sz val="12"/>
      <name val="Roboto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83592"/>
        <bgColor rgb="FF283592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/>
    <xf numFmtId="0" fontId="10" fillId="0" borderId="0" xfId="0" applyFont="1"/>
    <xf numFmtId="0" fontId="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vertical="top" wrapText="1"/>
    </xf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left" vertical="top" wrapText="1"/>
    </xf>
    <xf numFmtId="0" fontId="13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164" fontId="12" fillId="0" borderId="0" xfId="0" applyNumberFormat="1" applyFont="1" applyAlignment="1">
      <alignment vertical="top" wrapText="1"/>
    </xf>
    <xf numFmtId="0" fontId="15" fillId="0" borderId="0" xfId="0" applyFont="1" applyAlignment="1">
      <alignment horizontal="left"/>
    </xf>
    <xf numFmtId="0" fontId="1" fillId="0" borderId="0" xfId="0" applyFont="1"/>
    <xf numFmtId="0" fontId="0" fillId="0" borderId="0" xfId="0"/>
    <xf numFmtId="0" fontId="6" fillId="0" borderId="0" xfId="0" applyFont="1"/>
    <xf numFmtId="0" fontId="16" fillId="0" borderId="0" xfId="0" applyFont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00FF00"/>
          <bgColor rgb="FF00FF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W1008"/>
  <sheetViews>
    <sheetView showGridLines="0" workbookViewId="0"/>
  </sheetViews>
  <sheetFormatPr defaultColWidth="12.6328125" defaultRowHeight="15.75" customHeight="1"/>
  <cols>
    <col min="1" max="1" width="13.81640625" customWidth="1"/>
    <col min="2" max="2" width="24.453125" customWidth="1"/>
    <col min="3" max="3" width="16.7265625" customWidth="1"/>
    <col min="4" max="6" width="11.08984375" customWidth="1"/>
    <col min="7" max="127" width="6.08984375" customWidth="1"/>
  </cols>
  <sheetData>
    <row r="1" spans="1:127" ht="6" customHeight="1">
      <c r="A1" s="1"/>
      <c r="B1" s="2"/>
      <c r="C1" s="3"/>
      <c r="D1" s="3"/>
      <c r="E1" s="3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7" ht="18" customHeight="1">
      <c r="A2" s="4"/>
      <c r="B2" s="5"/>
      <c r="C2" s="6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</row>
    <row r="3" spans="1:127" ht="19.5" customHeight="1">
      <c r="A3" s="8" t="s">
        <v>0</v>
      </c>
      <c r="B3" s="9"/>
      <c r="C3" s="10"/>
      <c r="D3" s="10"/>
      <c r="E3" s="10"/>
      <c r="F3" s="10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</row>
    <row r="4" spans="1:127" ht="13">
      <c r="A4" s="34"/>
      <c r="B4" s="35"/>
      <c r="C4" s="11"/>
      <c r="D4" s="11"/>
      <c r="E4" s="11"/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</row>
    <row r="5" spans="1:127" ht="18" customHeight="1">
      <c r="A5" s="13"/>
      <c r="B5" s="14"/>
      <c r="C5" s="14"/>
      <c r="D5" s="14"/>
      <c r="E5" s="14"/>
      <c r="F5" s="14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</row>
    <row r="6" spans="1:127" ht="40" customHeight="1">
      <c r="A6" s="36" t="s">
        <v>1</v>
      </c>
      <c r="B6" s="35"/>
      <c r="C6" s="35"/>
      <c r="D6" s="35"/>
      <c r="E6" s="35"/>
      <c r="F6" s="3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</row>
    <row r="7" spans="1:127" ht="13">
      <c r="A7" s="13"/>
      <c r="B7" s="14"/>
      <c r="C7" s="14"/>
      <c r="D7" s="14"/>
      <c r="E7" s="14"/>
      <c r="F7" s="14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</row>
    <row r="8" spans="1:127" ht="18" customHeight="1">
      <c r="A8" s="16" t="s">
        <v>2</v>
      </c>
      <c r="B8" s="16" t="s">
        <v>3</v>
      </c>
      <c r="C8" s="16" t="s">
        <v>4</v>
      </c>
      <c r="D8" s="16" t="s">
        <v>5</v>
      </c>
      <c r="E8" s="16" t="s">
        <v>6</v>
      </c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</row>
    <row r="9" spans="1:127" ht="18" customHeight="1">
      <c r="A9" s="18" t="s">
        <v>7</v>
      </c>
      <c r="B9" s="18" t="s">
        <v>8</v>
      </c>
      <c r="C9" s="18" t="s">
        <v>9</v>
      </c>
      <c r="D9" s="18">
        <v>22</v>
      </c>
      <c r="E9" s="18">
        <v>12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</row>
    <row r="10" spans="1:127" ht="18" customHeight="1">
      <c r="A10" s="18" t="s">
        <v>10</v>
      </c>
      <c r="B10" s="18" t="s">
        <v>11</v>
      </c>
      <c r="C10" s="18" t="s">
        <v>9</v>
      </c>
      <c r="D10" s="18">
        <v>26</v>
      </c>
      <c r="E10" s="18">
        <v>14</v>
      </c>
      <c r="F10" s="1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</row>
    <row r="11" spans="1:127" ht="18" customHeight="1">
      <c r="A11" s="18" t="s">
        <v>12</v>
      </c>
      <c r="B11" s="18" t="s">
        <v>13</v>
      </c>
      <c r="C11" s="18" t="s">
        <v>9</v>
      </c>
      <c r="D11" s="18">
        <v>30</v>
      </c>
      <c r="E11" s="18">
        <v>16</v>
      </c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</row>
    <row r="12" spans="1:127" ht="18" customHeight="1">
      <c r="A12" s="18" t="s">
        <v>14</v>
      </c>
      <c r="B12" s="18" t="s">
        <v>15</v>
      </c>
      <c r="C12" s="18" t="s">
        <v>9</v>
      </c>
      <c r="D12" s="18">
        <v>25</v>
      </c>
      <c r="E12" s="18">
        <v>14</v>
      </c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</row>
    <row r="13" spans="1:127" ht="18" customHeight="1">
      <c r="A13" s="18" t="s">
        <v>16</v>
      </c>
      <c r="B13" s="18" t="s">
        <v>17</v>
      </c>
      <c r="C13" s="18" t="s">
        <v>9</v>
      </c>
      <c r="D13" s="18">
        <v>30</v>
      </c>
      <c r="E13" s="18">
        <v>17</v>
      </c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</row>
    <row r="14" spans="1:127" ht="18" customHeight="1">
      <c r="A14" s="18" t="s">
        <v>18</v>
      </c>
      <c r="B14" s="18" t="s">
        <v>19</v>
      </c>
      <c r="C14" s="18" t="s">
        <v>9</v>
      </c>
      <c r="D14" s="18">
        <v>34</v>
      </c>
      <c r="E14" s="18">
        <v>19</v>
      </c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</row>
    <row r="15" spans="1:127" ht="18" customHeight="1">
      <c r="A15" s="18" t="s">
        <v>20</v>
      </c>
      <c r="B15" s="18" t="s">
        <v>21</v>
      </c>
      <c r="C15" s="18" t="s">
        <v>9</v>
      </c>
      <c r="D15" s="18">
        <v>28</v>
      </c>
      <c r="E15" s="18">
        <v>16</v>
      </c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</row>
    <row r="16" spans="1:127" ht="18" customHeight="1">
      <c r="A16" s="18" t="s">
        <v>22</v>
      </c>
      <c r="B16" s="18" t="s">
        <v>23</v>
      </c>
      <c r="C16" s="18" t="s">
        <v>9</v>
      </c>
      <c r="D16" s="18">
        <v>32</v>
      </c>
      <c r="E16" s="18">
        <v>18</v>
      </c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</row>
    <row r="17" spans="1:127" ht="18" customHeight="1">
      <c r="A17" s="18" t="s">
        <v>24</v>
      </c>
      <c r="B17" s="18" t="s">
        <v>25</v>
      </c>
      <c r="C17" s="18" t="s">
        <v>9</v>
      </c>
      <c r="D17" s="18">
        <v>36</v>
      </c>
      <c r="E17" s="18">
        <v>21</v>
      </c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</row>
    <row r="18" spans="1:127" ht="18" customHeight="1">
      <c r="A18" s="18" t="s">
        <v>26</v>
      </c>
      <c r="B18" s="18" t="s">
        <v>27</v>
      </c>
      <c r="C18" s="18" t="s">
        <v>9</v>
      </c>
      <c r="D18" s="18">
        <v>30</v>
      </c>
      <c r="E18" s="18">
        <v>17</v>
      </c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</row>
    <row r="19" spans="1:127" ht="18" customHeight="1">
      <c r="A19" s="18" t="s">
        <v>28</v>
      </c>
      <c r="B19" s="18" t="s">
        <v>29</v>
      </c>
      <c r="C19" s="18" t="s">
        <v>9</v>
      </c>
      <c r="D19" s="18">
        <v>34</v>
      </c>
      <c r="E19" s="18">
        <v>19</v>
      </c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</row>
    <row r="20" spans="1:127" ht="18" customHeight="1">
      <c r="A20" s="18" t="s">
        <v>30</v>
      </c>
      <c r="B20" s="18" t="s">
        <v>31</v>
      </c>
      <c r="C20" s="18" t="s">
        <v>9</v>
      </c>
      <c r="D20" s="18">
        <v>38</v>
      </c>
      <c r="E20" s="18">
        <v>22</v>
      </c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</row>
    <row r="21" spans="1:127" ht="18" customHeight="1">
      <c r="A21" s="18" t="s">
        <v>32</v>
      </c>
      <c r="B21" s="18" t="s">
        <v>33</v>
      </c>
      <c r="C21" s="18" t="s">
        <v>9</v>
      </c>
      <c r="D21" s="18">
        <v>34</v>
      </c>
      <c r="E21" s="18">
        <v>19</v>
      </c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</row>
    <row r="22" spans="1:127" ht="18" customHeight="1">
      <c r="A22" s="18" t="s">
        <v>34</v>
      </c>
      <c r="B22" s="18" t="s">
        <v>35</v>
      </c>
      <c r="C22" s="18" t="s">
        <v>9</v>
      </c>
      <c r="D22" s="18">
        <v>38</v>
      </c>
      <c r="E22" s="18">
        <v>22</v>
      </c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</row>
    <row r="23" spans="1:127" ht="18" customHeight="1">
      <c r="A23" s="18" t="s">
        <v>36</v>
      </c>
      <c r="B23" s="18" t="s">
        <v>37</v>
      </c>
      <c r="C23" s="18" t="s">
        <v>9</v>
      </c>
      <c r="D23" s="18">
        <v>42</v>
      </c>
      <c r="E23" s="18">
        <v>24</v>
      </c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</row>
    <row r="24" spans="1:127" ht="18" customHeight="1">
      <c r="A24" s="18" t="s">
        <v>38</v>
      </c>
      <c r="B24" s="18" t="s">
        <v>39</v>
      </c>
      <c r="C24" s="18" t="s">
        <v>9</v>
      </c>
      <c r="D24" s="18">
        <v>32</v>
      </c>
      <c r="E24" s="18">
        <v>18</v>
      </c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</row>
    <row r="25" spans="1:127" ht="18" customHeight="1">
      <c r="A25" s="18" t="s">
        <v>40</v>
      </c>
      <c r="B25" s="18" t="s">
        <v>41</v>
      </c>
      <c r="C25" s="18" t="s">
        <v>9</v>
      </c>
      <c r="D25" s="18">
        <v>36</v>
      </c>
      <c r="E25" s="18">
        <v>21</v>
      </c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</row>
    <row r="26" spans="1:127" ht="18" customHeight="1">
      <c r="A26" s="18" t="s">
        <v>42</v>
      </c>
      <c r="B26" s="18" t="s">
        <v>43</v>
      </c>
      <c r="C26" s="18" t="s">
        <v>9</v>
      </c>
      <c r="D26" s="18">
        <v>40</v>
      </c>
      <c r="E26" s="18">
        <v>23</v>
      </c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</row>
    <row r="27" spans="1:127" ht="18" customHeight="1">
      <c r="A27" s="18" t="s">
        <v>44</v>
      </c>
      <c r="B27" s="18" t="s">
        <v>45</v>
      </c>
      <c r="C27" s="18" t="s">
        <v>9</v>
      </c>
      <c r="D27" s="18">
        <v>30</v>
      </c>
      <c r="E27" s="18">
        <v>17</v>
      </c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</row>
    <row r="28" spans="1:127" ht="18" customHeight="1">
      <c r="A28" s="18" t="s">
        <v>46</v>
      </c>
      <c r="B28" s="18" t="s">
        <v>47</v>
      </c>
      <c r="C28" s="18" t="s">
        <v>9</v>
      </c>
      <c r="D28" s="18">
        <v>34</v>
      </c>
      <c r="E28" s="18">
        <v>19</v>
      </c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</row>
    <row r="29" spans="1:127" ht="18" customHeight="1">
      <c r="A29" s="18" t="s">
        <v>48</v>
      </c>
      <c r="B29" s="18" t="s">
        <v>49</v>
      </c>
      <c r="C29" s="18" t="s">
        <v>9</v>
      </c>
      <c r="D29" s="18">
        <v>38</v>
      </c>
      <c r="E29" s="18">
        <v>22</v>
      </c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</row>
    <row r="30" spans="1:127" ht="18" customHeight="1">
      <c r="A30" s="18" t="s">
        <v>50</v>
      </c>
      <c r="B30" s="18" t="s">
        <v>51</v>
      </c>
      <c r="C30" s="18" t="s">
        <v>9</v>
      </c>
      <c r="D30" s="18">
        <v>28</v>
      </c>
      <c r="E30" s="18">
        <v>16</v>
      </c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</row>
    <row r="31" spans="1:127" ht="18" customHeight="1">
      <c r="A31" s="18" t="s">
        <v>52</v>
      </c>
      <c r="B31" s="18" t="s">
        <v>53</v>
      </c>
      <c r="C31" s="18" t="s">
        <v>9</v>
      </c>
      <c r="D31" s="18">
        <v>32</v>
      </c>
      <c r="E31" s="18">
        <v>18</v>
      </c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</row>
    <row r="32" spans="1:127" ht="18" customHeight="1">
      <c r="A32" s="18" t="s">
        <v>54</v>
      </c>
      <c r="B32" s="18" t="s">
        <v>55</v>
      </c>
      <c r="C32" s="18" t="s">
        <v>9</v>
      </c>
      <c r="D32" s="18">
        <v>36</v>
      </c>
      <c r="E32" s="18">
        <v>21</v>
      </c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</row>
    <row r="33" spans="1:127" ht="18" customHeight="1">
      <c r="A33" s="18" t="s">
        <v>56</v>
      </c>
      <c r="B33" s="18" t="s">
        <v>57</v>
      </c>
      <c r="C33" s="18" t="s">
        <v>9</v>
      </c>
      <c r="D33" s="18">
        <v>22</v>
      </c>
      <c r="E33" s="18">
        <v>10</v>
      </c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</row>
    <row r="34" spans="1:127" ht="18" customHeight="1">
      <c r="A34" s="18" t="s">
        <v>58</v>
      </c>
      <c r="B34" s="18" t="s">
        <v>59</v>
      </c>
      <c r="C34" s="18" t="s">
        <v>9</v>
      </c>
      <c r="D34" s="18">
        <v>22</v>
      </c>
      <c r="E34" s="18">
        <v>10</v>
      </c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</row>
    <row r="35" spans="1:127" ht="18" customHeight="1">
      <c r="A35" s="18" t="s">
        <v>60</v>
      </c>
      <c r="B35" s="18" t="s">
        <v>61</v>
      </c>
      <c r="C35" s="18" t="s">
        <v>9</v>
      </c>
      <c r="D35" s="18">
        <v>24</v>
      </c>
      <c r="E35" s="18">
        <v>11</v>
      </c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</row>
    <row r="36" spans="1:127" ht="18" customHeight="1">
      <c r="A36" s="18" t="s">
        <v>62</v>
      </c>
      <c r="B36" s="18" t="s">
        <v>63</v>
      </c>
      <c r="C36" s="18" t="s">
        <v>9</v>
      </c>
      <c r="D36" s="18">
        <v>24</v>
      </c>
      <c r="E36" s="18">
        <v>11</v>
      </c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</row>
    <row r="37" spans="1:127" ht="18" customHeight="1">
      <c r="A37" s="18" t="s">
        <v>64</v>
      </c>
      <c r="B37" s="18" t="s">
        <v>65</v>
      </c>
      <c r="C37" s="18" t="s">
        <v>9</v>
      </c>
      <c r="D37" s="18">
        <v>24</v>
      </c>
      <c r="E37" s="18">
        <v>11</v>
      </c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</row>
    <row r="38" spans="1:127" ht="18" customHeight="1">
      <c r="A38" s="18" t="s">
        <v>66</v>
      </c>
      <c r="B38" s="18" t="s">
        <v>67</v>
      </c>
      <c r="C38" s="18" t="s">
        <v>9</v>
      </c>
      <c r="D38" s="18">
        <v>24</v>
      </c>
      <c r="E38" s="18">
        <v>11</v>
      </c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</row>
    <row r="39" spans="1:127" ht="18" customHeight="1">
      <c r="A39" s="18" t="s">
        <v>68</v>
      </c>
      <c r="B39" s="18" t="s">
        <v>69</v>
      </c>
      <c r="C39" s="18" t="s">
        <v>70</v>
      </c>
      <c r="D39" s="18">
        <v>30</v>
      </c>
      <c r="E39" s="18">
        <v>17</v>
      </c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</row>
    <row r="40" spans="1:127" ht="18" customHeight="1">
      <c r="A40" s="18" t="s">
        <v>71</v>
      </c>
      <c r="B40" s="18" t="s">
        <v>72</v>
      </c>
      <c r="C40" s="18" t="s">
        <v>70</v>
      </c>
      <c r="D40" s="18">
        <v>34</v>
      </c>
      <c r="E40" s="18">
        <v>19</v>
      </c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</row>
    <row r="41" spans="1:127" ht="18" customHeight="1">
      <c r="A41" s="18" t="s">
        <v>73</v>
      </c>
      <c r="B41" s="18" t="s">
        <v>74</v>
      </c>
      <c r="C41" s="18" t="s">
        <v>70</v>
      </c>
      <c r="D41" s="18">
        <v>36</v>
      </c>
      <c r="E41" s="18">
        <v>21</v>
      </c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</row>
    <row r="42" spans="1:127" ht="18" customHeight="1">
      <c r="A42" s="18" t="s">
        <v>75</v>
      </c>
      <c r="B42" s="18" t="s">
        <v>76</v>
      </c>
      <c r="C42" s="18" t="s">
        <v>70</v>
      </c>
      <c r="D42" s="18">
        <v>40</v>
      </c>
      <c r="E42" s="18">
        <v>24</v>
      </c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</row>
    <row r="43" spans="1:127" ht="18" customHeight="1">
      <c r="A43" s="18" t="s">
        <v>77</v>
      </c>
      <c r="B43" s="18" t="s">
        <v>78</v>
      </c>
      <c r="C43" s="18" t="s">
        <v>70</v>
      </c>
      <c r="D43" s="18">
        <v>40</v>
      </c>
      <c r="E43" s="18">
        <v>23</v>
      </c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</row>
    <row r="44" spans="1:127" ht="18" customHeight="1">
      <c r="A44" s="18" t="s">
        <v>79</v>
      </c>
      <c r="B44" s="18" t="s">
        <v>80</v>
      </c>
      <c r="C44" s="18" t="s">
        <v>70</v>
      </c>
      <c r="D44" s="18">
        <v>45</v>
      </c>
      <c r="E44" s="18">
        <v>27</v>
      </c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</row>
    <row r="45" spans="1:127" ht="18" customHeight="1">
      <c r="A45" s="18" t="s">
        <v>81</v>
      </c>
      <c r="B45" s="18" t="s">
        <v>82</v>
      </c>
      <c r="C45" s="18" t="s">
        <v>70</v>
      </c>
      <c r="D45" s="18">
        <v>38</v>
      </c>
      <c r="E45" s="18">
        <v>22</v>
      </c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</row>
    <row r="46" spans="1:127" ht="18" customHeight="1">
      <c r="A46" s="18" t="s">
        <v>83</v>
      </c>
      <c r="B46" s="18" t="s">
        <v>84</v>
      </c>
      <c r="C46" s="18" t="s">
        <v>70</v>
      </c>
      <c r="D46" s="18">
        <v>42</v>
      </c>
      <c r="E46" s="18">
        <v>25</v>
      </c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</row>
    <row r="47" spans="1:127" ht="18" customHeight="1">
      <c r="A47" s="18" t="s">
        <v>85</v>
      </c>
      <c r="B47" s="18" t="s">
        <v>86</v>
      </c>
      <c r="C47" s="18" t="s">
        <v>70</v>
      </c>
      <c r="D47" s="18">
        <v>38</v>
      </c>
      <c r="E47" s="18">
        <v>22</v>
      </c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</row>
    <row r="48" spans="1:127" ht="18" customHeight="1">
      <c r="A48" s="18" t="s">
        <v>87</v>
      </c>
      <c r="B48" s="18" t="s">
        <v>88</v>
      </c>
      <c r="C48" s="18" t="s">
        <v>70</v>
      </c>
      <c r="D48" s="18">
        <v>42</v>
      </c>
      <c r="E48" s="18">
        <v>25</v>
      </c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</row>
    <row r="49" spans="1:127" ht="18" customHeight="1">
      <c r="A49" s="18" t="s">
        <v>89</v>
      </c>
      <c r="B49" s="18" t="s">
        <v>90</v>
      </c>
      <c r="C49" s="18" t="s">
        <v>91</v>
      </c>
      <c r="D49" s="18">
        <v>42</v>
      </c>
      <c r="E49" s="18">
        <v>25</v>
      </c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</row>
    <row r="50" spans="1:127" ht="18" customHeight="1">
      <c r="A50" s="18" t="s">
        <v>92</v>
      </c>
      <c r="B50" s="18" t="s">
        <v>93</v>
      </c>
      <c r="C50" s="18" t="s">
        <v>91</v>
      </c>
      <c r="D50" s="18">
        <v>48</v>
      </c>
      <c r="E50" s="18">
        <v>30</v>
      </c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</row>
    <row r="51" spans="1:127" ht="18" customHeight="1">
      <c r="A51" s="18" t="s">
        <v>94</v>
      </c>
      <c r="B51" s="18" t="s">
        <v>95</v>
      </c>
      <c r="C51" s="18" t="s">
        <v>91</v>
      </c>
      <c r="D51" s="18">
        <v>40</v>
      </c>
      <c r="E51" s="18">
        <v>24</v>
      </c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</row>
    <row r="52" spans="1:127" ht="18" customHeight="1">
      <c r="A52" s="18" t="s">
        <v>96</v>
      </c>
      <c r="B52" s="18" t="s">
        <v>97</v>
      </c>
      <c r="C52" s="18" t="s">
        <v>91</v>
      </c>
      <c r="D52" s="18">
        <v>46</v>
      </c>
      <c r="E52" s="18">
        <v>28</v>
      </c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</row>
    <row r="53" spans="1:127" ht="18" customHeight="1">
      <c r="A53" s="18" t="s">
        <v>98</v>
      </c>
      <c r="B53" s="18" t="s">
        <v>99</v>
      </c>
      <c r="C53" s="18" t="s">
        <v>91</v>
      </c>
      <c r="D53" s="18">
        <v>42</v>
      </c>
      <c r="E53" s="18">
        <v>25</v>
      </c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</row>
    <row r="54" spans="1:127" ht="18" customHeight="1">
      <c r="A54" s="18" t="s">
        <v>100</v>
      </c>
      <c r="B54" s="18" t="s">
        <v>101</v>
      </c>
      <c r="C54" s="18" t="s">
        <v>91</v>
      </c>
      <c r="D54" s="18">
        <v>48</v>
      </c>
      <c r="E54" s="18">
        <v>30</v>
      </c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</row>
    <row r="55" spans="1:127" ht="18" customHeight="1">
      <c r="A55" s="18" t="s">
        <v>102</v>
      </c>
      <c r="B55" s="18" t="s">
        <v>103</v>
      </c>
      <c r="C55" s="18" t="s">
        <v>91</v>
      </c>
      <c r="D55" s="18">
        <v>40</v>
      </c>
      <c r="E55" s="18">
        <v>24</v>
      </c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</row>
    <row r="56" spans="1:127" ht="18" customHeight="1">
      <c r="A56" s="18" t="s">
        <v>104</v>
      </c>
      <c r="B56" s="18" t="s">
        <v>105</v>
      </c>
      <c r="C56" s="18" t="s">
        <v>91</v>
      </c>
      <c r="D56" s="18">
        <v>46</v>
      </c>
      <c r="E56" s="18">
        <v>28</v>
      </c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</row>
    <row r="57" spans="1:127" ht="18" customHeight="1">
      <c r="A57" s="18" t="s">
        <v>106</v>
      </c>
      <c r="B57" s="18" t="s">
        <v>107</v>
      </c>
      <c r="C57" s="18" t="s">
        <v>91</v>
      </c>
      <c r="D57" s="18">
        <v>46</v>
      </c>
      <c r="E57" s="18">
        <v>28</v>
      </c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</row>
    <row r="58" spans="1:127" ht="18" customHeight="1">
      <c r="A58" s="18" t="s">
        <v>108</v>
      </c>
      <c r="B58" s="18" t="s">
        <v>109</v>
      </c>
      <c r="C58" s="18" t="s">
        <v>91</v>
      </c>
      <c r="D58" s="18">
        <v>52</v>
      </c>
      <c r="E58" s="18">
        <v>34</v>
      </c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</row>
    <row r="59" spans="1:127" ht="18" customHeight="1">
      <c r="A59" s="18" t="s">
        <v>110</v>
      </c>
      <c r="B59" s="18" t="s">
        <v>111</v>
      </c>
      <c r="C59" s="18" t="s">
        <v>112</v>
      </c>
      <c r="D59" s="18">
        <v>30</v>
      </c>
      <c r="E59" s="18">
        <v>16</v>
      </c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</row>
    <row r="60" spans="1:127" ht="18" customHeight="1">
      <c r="A60" s="18" t="s">
        <v>113</v>
      </c>
      <c r="B60" s="18" t="s">
        <v>114</v>
      </c>
      <c r="C60" s="18" t="s">
        <v>112</v>
      </c>
      <c r="D60" s="18">
        <v>32</v>
      </c>
      <c r="E60" s="18">
        <v>18</v>
      </c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</row>
    <row r="61" spans="1:127" ht="18" customHeight="1">
      <c r="A61" s="18" t="s">
        <v>115</v>
      </c>
      <c r="B61" s="18" t="s">
        <v>116</v>
      </c>
      <c r="C61" s="18" t="s">
        <v>112</v>
      </c>
      <c r="D61" s="18">
        <v>38</v>
      </c>
      <c r="E61" s="18">
        <v>22</v>
      </c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</row>
    <row r="62" spans="1:127" ht="18" customHeight="1">
      <c r="A62" s="18" t="s">
        <v>117</v>
      </c>
      <c r="B62" s="18" t="s">
        <v>118</v>
      </c>
      <c r="C62" s="18" t="s">
        <v>112</v>
      </c>
      <c r="D62" s="18">
        <v>40</v>
      </c>
      <c r="E62" s="18">
        <v>24</v>
      </c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</row>
    <row r="63" spans="1:127" ht="18" customHeight="1">
      <c r="A63" s="18" t="s">
        <v>119</v>
      </c>
      <c r="B63" s="18" t="s">
        <v>120</v>
      </c>
      <c r="C63" s="18" t="s">
        <v>112</v>
      </c>
      <c r="D63" s="18">
        <v>42</v>
      </c>
      <c r="E63" s="18">
        <v>25</v>
      </c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</row>
    <row r="64" spans="1:127" ht="18" customHeight="1">
      <c r="A64" s="18" t="s">
        <v>121</v>
      </c>
      <c r="B64" s="18" t="s">
        <v>122</v>
      </c>
      <c r="C64" s="18" t="s">
        <v>112</v>
      </c>
      <c r="D64" s="18">
        <v>52</v>
      </c>
      <c r="E64" s="18">
        <v>34</v>
      </c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</row>
    <row r="65" spans="1:127" ht="18" customHeight="1">
      <c r="A65" s="18" t="s">
        <v>123</v>
      </c>
      <c r="B65" s="18" t="s">
        <v>124</v>
      </c>
      <c r="C65" s="18" t="s">
        <v>125</v>
      </c>
      <c r="D65" s="18">
        <v>20</v>
      </c>
      <c r="E65" s="18">
        <v>11</v>
      </c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</row>
    <row r="66" spans="1:127" ht="18" customHeight="1">
      <c r="A66" s="18" t="s">
        <v>126</v>
      </c>
      <c r="B66" s="18" t="s">
        <v>127</v>
      </c>
      <c r="C66" s="18" t="s">
        <v>125</v>
      </c>
      <c r="D66" s="18">
        <v>22</v>
      </c>
      <c r="E66" s="18">
        <v>12</v>
      </c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</row>
    <row r="67" spans="1:127" ht="18" customHeight="1">
      <c r="A67" s="18" t="s">
        <v>128</v>
      </c>
      <c r="B67" s="18" t="s">
        <v>129</v>
      </c>
      <c r="C67" s="18" t="s">
        <v>125</v>
      </c>
      <c r="D67" s="18">
        <v>28</v>
      </c>
      <c r="E67" s="18">
        <v>16</v>
      </c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</row>
    <row r="68" spans="1:127" ht="18" customHeight="1">
      <c r="A68" s="18" t="s">
        <v>130</v>
      </c>
      <c r="B68" s="18" t="s">
        <v>131</v>
      </c>
      <c r="C68" s="18" t="s">
        <v>125</v>
      </c>
      <c r="D68" s="18">
        <v>65</v>
      </c>
      <c r="E68" s="18">
        <v>42</v>
      </c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</row>
    <row r="69" spans="1:127" ht="18" customHeight="1">
      <c r="A69" s="18" t="s">
        <v>132</v>
      </c>
      <c r="B69" s="18" t="s">
        <v>133</v>
      </c>
      <c r="C69" s="18" t="s">
        <v>125</v>
      </c>
      <c r="D69" s="18">
        <v>38</v>
      </c>
      <c r="E69" s="18">
        <v>23</v>
      </c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</row>
    <row r="70" spans="1:127" ht="18" customHeight="1">
      <c r="A70" s="18" t="s">
        <v>134</v>
      </c>
      <c r="B70" s="19" t="s">
        <v>135</v>
      </c>
      <c r="C70" s="18" t="s">
        <v>125</v>
      </c>
      <c r="D70" s="18">
        <v>42</v>
      </c>
      <c r="E70" s="18">
        <v>26</v>
      </c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</row>
    <row r="71" spans="1:127" ht="18" customHeight="1">
      <c r="A71" s="18" t="s">
        <v>136</v>
      </c>
      <c r="B71" s="18" t="s">
        <v>137</v>
      </c>
      <c r="C71" s="18" t="s">
        <v>138</v>
      </c>
      <c r="D71" s="18">
        <v>22</v>
      </c>
      <c r="E71" s="18">
        <v>13</v>
      </c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</row>
    <row r="72" spans="1:127" ht="18" customHeight="1">
      <c r="A72" s="18" t="s">
        <v>139</v>
      </c>
      <c r="B72" s="18" t="s">
        <v>140</v>
      </c>
      <c r="C72" s="18" t="s">
        <v>138</v>
      </c>
      <c r="D72" s="18">
        <v>22</v>
      </c>
      <c r="E72" s="18">
        <v>13</v>
      </c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</row>
    <row r="73" spans="1:127" ht="18" customHeight="1">
      <c r="A73" s="18" t="s">
        <v>141</v>
      </c>
      <c r="B73" s="18" t="s">
        <v>142</v>
      </c>
      <c r="C73" s="18" t="s">
        <v>143</v>
      </c>
      <c r="D73" s="18">
        <v>6</v>
      </c>
      <c r="E73" s="18">
        <v>3</v>
      </c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</row>
    <row r="74" spans="1:127" ht="18" customHeight="1">
      <c r="A74" s="18" t="s">
        <v>144</v>
      </c>
      <c r="B74" s="18" t="s">
        <v>145</v>
      </c>
      <c r="C74" s="18" t="s">
        <v>143</v>
      </c>
      <c r="D74" s="18">
        <v>6</v>
      </c>
      <c r="E74" s="18">
        <v>3</v>
      </c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</row>
    <row r="75" spans="1:127" ht="18" customHeight="1">
      <c r="A75" s="18" t="s">
        <v>146</v>
      </c>
      <c r="B75" s="18" t="s">
        <v>147</v>
      </c>
      <c r="C75" s="18" t="s">
        <v>143</v>
      </c>
      <c r="D75" s="18">
        <v>6</v>
      </c>
      <c r="E75" s="18">
        <v>3</v>
      </c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</row>
    <row r="76" spans="1:127" ht="18" customHeight="1">
      <c r="A76" s="18" t="s">
        <v>148</v>
      </c>
      <c r="B76" s="18" t="s">
        <v>149</v>
      </c>
      <c r="C76" s="18" t="s">
        <v>143</v>
      </c>
      <c r="D76" s="18">
        <v>8</v>
      </c>
      <c r="E76" s="18">
        <v>4</v>
      </c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</row>
    <row r="77" spans="1:127" ht="18" customHeight="1">
      <c r="A77" s="18" t="s">
        <v>150</v>
      </c>
      <c r="B77" s="18" t="s">
        <v>151</v>
      </c>
      <c r="C77" s="18" t="s">
        <v>143</v>
      </c>
      <c r="D77" s="18">
        <v>8</v>
      </c>
      <c r="E77" s="18">
        <v>4</v>
      </c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</row>
    <row r="78" spans="1:127" ht="18" customHeight="1">
      <c r="A78" s="18" t="s">
        <v>152</v>
      </c>
      <c r="B78" s="18" t="s">
        <v>153</v>
      </c>
      <c r="C78" s="18" t="s">
        <v>143</v>
      </c>
      <c r="D78" s="18">
        <v>8</v>
      </c>
      <c r="E78" s="18">
        <v>4</v>
      </c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</row>
    <row r="79" spans="1:127" ht="18" customHeight="1">
      <c r="A79" s="18" t="s">
        <v>154</v>
      </c>
      <c r="B79" s="18" t="s">
        <v>155</v>
      </c>
      <c r="C79" s="18" t="s">
        <v>143</v>
      </c>
      <c r="D79" s="18">
        <v>6</v>
      </c>
      <c r="E79" s="18">
        <v>3</v>
      </c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</row>
    <row r="80" spans="1:127" ht="18" customHeight="1">
      <c r="A80" s="18" t="s">
        <v>156</v>
      </c>
      <c r="B80" s="18" t="s">
        <v>157</v>
      </c>
      <c r="C80" s="18" t="s">
        <v>143</v>
      </c>
      <c r="D80" s="18">
        <v>8</v>
      </c>
      <c r="E80" s="18">
        <v>5</v>
      </c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</row>
    <row r="81" spans="1:127" ht="18" customHeight="1">
      <c r="A81" s="18" t="s">
        <v>158</v>
      </c>
      <c r="B81" s="18" t="s">
        <v>159</v>
      </c>
      <c r="C81" s="18" t="s">
        <v>143</v>
      </c>
      <c r="D81" s="18">
        <v>8</v>
      </c>
      <c r="E81" s="18">
        <v>5</v>
      </c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</row>
    <row r="82" spans="1:127" ht="18" customHeight="1">
      <c r="A82" s="18" t="s">
        <v>160</v>
      </c>
      <c r="B82" s="18" t="s">
        <v>161</v>
      </c>
      <c r="C82" s="18" t="s">
        <v>143</v>
      </c>
      <c r="D82" s="18">
        <v>2</v>
      </c>
      <c r="E82" s="18">
        <v>1</v>
      </c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</row>
    <row r="83" spans="1:127" ht="18" customHeight="1">
      <c r="A83" s="18" t="s">
        <v>162</v>
      </c>
      <c r="B83" s="18" t="s">
        <v>163</v>
      </c>
      <c r="C83" s="18" t="s">
        <v>164</v>
      </c>
      <c r="D83" s="18">
        <v>18</v>
      </c>
      <c r="E83" s="18">
        <v>12</v>
      </c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</row>
    <row r="84" spans="1:127" ht="18" customHeight="1">
      <c r="A84" s="18" t="s">
        <v>165</v>
      </c>
      <c r="B84" s="18" t="s">
        <v>166</v>
      </c>
      <c r="C84" s="18" t="s">
        <v>164</v>
      </c>
      <c r="D84" s="18">
        <v>18</v>
      </c>
      <c r="E84" s="18">
        <v>12</v>
      </c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</row>
    <row r="85" spans="1:127" ht="18" customHeight="1">
      <c r="A85" s="18" t="s">
        <v>167</v>
      </c>
      <c r="B85" s="18" t="s">
        <v>168</v>
      </c>
      <c r="C85" s="18" t="s">
        <v>164</v>
      </c>
      <c r="D85" s="18">
        <v>18</v>
      </c>
      <c r="E85" s="18">
        <v>12</v>
      </c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</row>
    <row r="86" spans="1:127" ht="18" customHeight="1">
      <c r="A86" s="18" t="s">
        <v>169</v>
      </c>
      <c r="B86" s="19" t="s">
        <v>170</v>
      </c>
      <c r="C86" s="18" t="s">
        <v>164</v>
      </c>
      <c r="D86" s="18">
        <v>12</v>
      </c>
      <c r="E86" s="18">
        <v>8</v>
      </c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</row>
    <row r="87" spans="1:127" ht="18" customHeight="1">
      <c r="A87" s="18" t="s">
        <v>171</v>
      </c>
      <c r="B87" s="19" t="s">
        <v>172</v>
      </c>
      <c r="C87" s="18" t="s">
        <v>164</v>
      </c>
      <c r="D87" s="18">
        <v>18</v>
      </c>
      <c r="E87" s="18">
        <v>12</v>
      </c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</row>
    <row r="88" spans="1:127" ht="18" customHeight="1">
      <c r="A88" s="18" t="s">
        <v>173</v>
      </c>
      <c r="B88" s="18" t="s">
        <v>174</v>
      </c>
      <c r="C88" s="18" t="s">
        <v>175</v>
      </c>
      <c r="D88" s="18">
        <v>95</v>
      </c>
      <c r="E88" s="18">
        <v>65</v>
      </c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</row>
    <row r="89" spans="1:127" ht="18" customHeight="1">
      <c r="A89" s="18" t="s">
        <v>176</v>
      </c>
      <c r="B89" s="18" t="s">
        <v>177</v>
      </c>
      <c r="C89" s="18" t="s">
        <v>175</v>
      </c>
      <c r="D89" s="18">
        <v>170</v>
      </c>
      <c r="E89" s="18">
        <v>120</v>
      </c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</row>
    <row r="90" spans="1:127" ht="18" customHeight="1">
      <c r="A90" s="18" t="s">
        <v>178</v>
      </c>
      <c r="B90" s="18" t="s">
        <v>179</v>
      </c>
      <c r="C90" s="18" t="s">
        <v>175</v>
      </c>
      <c r="D90" s="18">
        <v>320</v>
      </c>
      <c r="E90" s="18">
        <v>230</v>
      </c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</row>
    <row r="91" spans="1:127" ht="18" customHeight="1">
      <c r="A91" s="18" t="s">
        <v>180</v>
      </c>
      <c r="B91" s="18" t="s">
        <v>181</v>
      </c>
      <c r="C91" s="18" t="s">
        <v>175</v>
      </c>
      <c r="D91" s="18">
        <v>100</v>
      </c>
      <c r="E91" s="18">
        <v>70</v>
      </c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</row>
    <row r="92" spans="1:127" ht="18" customHeight="1">
      <c r="A92" s="18" t="s">
        <v>182</v>
      </c>
      <c r="B92" s="18" t="s">
        <v>183</v>
      </c>
      <c r="C92" s="18" t="s">
        <v>175</v>
      </c>
      <c r="D92" s="18">
        <v>180</v>
      </c>
      <c r="E92" s="18">
        <v>130</v>
      </c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</row>
    <row r="93" spans="1:127" ht="18" customHeight="1">
      <c r="A93" s="18" t="s">
        <v>184</v>
      </c>
      <c r="B93" s="18" t="s">
        <v>185</v>
      </c>
      <c r="C93" s="18" t="s">
        <v>175</v>
      </c>
      <c r="D93" s="18">
        <v>90</v>
      </c>
      <c r="E93" s="18">
        <v>60</v>
      </c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</row>
    <row r="94" spans="1:127" ht="18" customHeight="1">
      <c r="A94" s="18" t="s">
        <v>186</v>
      </c>
      <c r="B94" s="19" t="s">
        <v>187</v>
      </c>
      <c r="C94" s="18" t="s">
        <v>175</v>
      </c>
      <c r="D94" s="18">
        <v>120</v>
      </c>
      <c r="E94" s="18">
        <v>80</v>
      </c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</row>
    <row r="95" spans="1:127" ht="18" customHeight="1">
      <c r="A95" s="16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</row>
    <row r="96" spans="1:127" ht="18" customHeight="1">
      <c r="A96" s="16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</row>
    <row r="97" spans="1:127" ht="18" customHeight="1">
      <c r="A97" s="16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</row>
    <row r="98" spans="1:127" ht="18" customHeight="1">
      <c r="A98" s="16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</row>
    <row r="99" spans="1:127" ht="18" customHeight="1">
      <c r="A99" s="16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</row>
    <row r="100" spans="1:127" ht="18" customHeight="1">
      <c r="A100" s="16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</row>
    <row r="101" spans="1:127" ht="18" customHeight="1">
      <c r="A101" s="16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</row>
    <row r="102" spans="1:127" ht="18" customHeight="1">
      <c r="A102" s="16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</row>
    <row r="103" spans="1:127" ht="18" customHeight="1">
      <c r="A103" s="16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</row>
    <row r="104" spans="1:127" ht="18" customHeight="1">
      <c r="A104" s="16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</row>
    <row r="105" spans="1:127" ht="18" customHeight="1">
      <c r="A105" s="16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</row>
    <row r="106" spans="1:127" ht="18" customHeight="1">
      <c r="A106" s="16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</row>
    <row r="107" spans="1:127" ht="18" customHeight="1">
      <c r="A107" s="16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</row>
    <row r="108" spans="1:127" ht="18" customHeight="1">
      <c r="A108" s="16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</row>
    <row r="109" spans="1:127" ht="18" customHeight="1">
      <c r="A109" s="16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</row>
    <row r="110" spans="1:127" ht="18" customHeight="1">
      <c r="A110" s="16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</row>
    <row r="111" spans="1:127" ht="18" customHeight="1">
      <c r="A111" s="16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</row>
    <row r="112" spans="1:127" ht="18" customHeight="1">
      <c r="A112" s="16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</row>
    <row r="113" spans="1:127" ht="18" customHeight="1">
      <c r="A113" s="16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</row>
    <row r="114" spans="1:127" ht="18" customHeight="1">
      <c r="A114" s="16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</row>
    <row r="115" spans="1:127" ht="18" customHeight="1">
      <c r="A115" s="16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</row>
    <row r="116" spans="1:127" ht="18" customHeight="1">
      <c r="A116" s="16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</row>
    <row r="117" spans="1:127" ht="18" customHeight="1">
      <c r="A117" s="16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</row>
    <row r="118" spans="1:127" ht="18" customHeight="1">
      <c r="A118" s="16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</row>
    <row r="119" spans="1:127" ht="18" customHeight="1">
      <c r="A119" s="16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</row>
    <row r="120" spans="1:127" ht="18" customHeight="1">
      <c r="A120" s="16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</row>
    <row r="121" spans="1:127" ht="18" customHeight="1">
      <c r="A121" s="16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</row>
    <row r="122" spans="1:127" ht="18" customHeight="1">
      <c r="A122" s="16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</row>
    <row r="123" spans="1:127" ht="18" customHeight="1">
      <c r="A123" s="16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</row>
    <row r="124" spans="1:127" ht="18" customHeight="1">
      <c r="A124" s="16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</row>
    <row r="125" spans="1:127" ht="18" customHeight="1">
      <c r="A125" s="16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</row>
    <row r="126" spans="1:127" ht="18" customHeight="1">
      <c r="A126" s="16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</row>
    <row r="127" spans="1:127" ht="18" customHeight="1">
      <c r="A127" s="16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</row>
    <row r="128" spans="1:127" ht="18" customHeight="1">
      <c r="A128" s="16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</row>
    <row r="129" spans="1:127" ht="18" customHeight="1">
      <c r="A129" s="16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</row>
    <row r="130" spans="1:127" ht="18" customHeight="1">
      <c r="A130" s="16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</row>
    <row r="131" spans="1:127" ht="18" customHeight="1">
      <c r="A131" s="16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</row>
    <row r="132" spans="1:127" ht="18" customHeight="1">
      <c r="A132" s="16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</row>
    <row r="133" spans="1:127" ht="18" customHeight="1">
      <c r="A133" s="16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</row>
    <row r="134" spans="1:127" ht="18" customHeight="1">
      <c r="A134" s="16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</row>
    <row r="135" spans="1:127" ht="18" customHeight="1">
      <c r="A135" s="16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</row>
    <row r="136" spans="1:127" ht="18" customHeight="1">
      <c r="A136" s="16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</row>
    <row r="137" spans="1:127" ht="18" customHeight="1">
      <c r="A137" s="16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</row>
    <row r="138" spans="1:127" ht="18" customHeight="1">
      <c r="A138" s="16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</row>
    <row r="139" spans="1:127" ht="18" customHeight="1">
      <c r="A139" s="16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</row>
    <row r="140" spans="1:127" ht="18" customHeight="1">
      <c r="A140" s="16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</row>
    <row r="141" spans="1:127" ht="18" customHeight="1">
      <c r="A141" s="16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</row>
    <row r="142" spans="1:127" ht="18" customHeight="1">
      <c r="A142" s="16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</row>
    <row r="143" spans="1:127" ht="18" customHeight="1">
      <c r="A143" s="16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</row>
    <row r="144" spans="1:127" ht="18" customHeight="1">
      <c r="A144" s="16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</row>
    <row r="145" spans="1:127" ht="18" customHeight="1">
      <c r="A145" s="16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</row>
    <row r="146" spans="1:127" ht="18" customHeight="1">
      <c r="A146" s="16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</row>
    <row r="147" spans="1:127" ht="18" customHeight="1">
      <c r="A147" s="16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</row>
    <row r="148" spans="1:127" ht="18" customHeight="1">
      <c r="A148" s="16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</row>
    <row r="149" spans="1:127" ht="18" customHeight="1">
      <c r="A149" s="16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</row>
    <row r="150" spans="1:127" ht="18" customHeight="1">
      <c r="A150" s="16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</row>
    <row r="151" spans="1:127" ht="18" customHeight="1">
      <c r="A151" s="16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</row>
    <row r="152" spans="1:127" ht="18" customHeight="1">
      <c r="A152" s="16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</row>
    <row r="153" spans="1:127" ht="18" customHeight="1">
      <c r="A153" s="16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</row>
    <row r="154" spans="1:127" ht="18" customHeight="1">
      <c r="A154" s="16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</row>
    <row r="155" spans="1:127" ht="18" customHeight="1">
      <c r="A155" s="16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</row>
    <row r="156" spans="1:127" ht="18" customHeight="1">
      <c r="A156" s="16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</row>
    <row r="157" spans="1:127" ht="18" customHeight="1">
      <c r="A157" s="16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</row>
    <row r="158" spans="1:127" ht="18" customHeight="1">
      <c r="A158" s="16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</row>
    <row r="159" spans="1:127" ht="18" customHeight="1">
      <c r="A159" s="16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</row>
    <row r="160" spans="1:127" ht="18" customHeight="1">
      <c r="A160" s="16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</row>
    <row r="161" spans="1:127" ht="18" customHeight="1">
      <c r="A161" s="16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</row>
    <row r="162" spans="1:127" ht="18" customHeight="1">
      <c r="A162" s="16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</row>
    <row r="163" spans="1:127" ht="18" customHeight="1">
      <c r="A163" s="16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</row>
    <row r="164" spans="1:127" ht="18" customHeight="1">
      <c r="A164" s="16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</row>
    <row r="165" spans="1:127" ht="18" customHeight="1">
      <c r="A165" s="16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</row>
    <row r="166" spans="1:127" ht="18" customHeight="1">
      <c r="A166" s="16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</row>
    <row r="167" spans="1:127" ht="18" customHeight="1">
      <c r="A167" s="16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</row>
    <row r="168" spans="1:127" ht="18" customHeight="1">
      <c r="A168" s="16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</row>
    <row r="169" spans="1:127" ht="18" customHeight="1">
      <c r="A169" s="16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</row>
    <row r="170" spans="1:127" ht="18" customHeight="1">
      <c r="A170" s="16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</row>
    <row r="171" spans="1:127" ht="18" customHeight="1">
      <c r="A171" s="16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</row>
    <row r="172" spans="1:127" ht="18" customHeight="1">
      <c r="A172" s="16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</row>
    <row r="173" spans="1:127" ht="18" customHeight="1">
      <c r="A173" s="16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</row>
    <row r="174" spans="1:127" ht="18" customHeight="1">
      <c r="A174" s="16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</row>
    <row r="175" spans="1:127" ht="18" customHeight="1">
      <c r="A175" s="16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</row>
    <row r="176" spans="1:127" ht="18" customHeight="1">
      <c r="A176" s="16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</row>
    <row r="177" spans="1:127" ht="18" customHeight="1">
      <c r="A177" s="16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</row>
    <row r="178" spans="1:127" ht="18" customHeight="1">
      <c r="A178" s="16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</row>
    <row r="179" spans="1:127" ht="18" customHeight="1">
      <c r="A179" s="16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</row>
    <row r="180" spans="1:127" ht="18" customHeight="1">
      <c r="A180" s="16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</row>
    <row r="181" spans="1:127" ht="18" customHeight="1">
      <c r="A181" s="16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</row>
    <row r="182" spans="1:127" ht="18" customHeight="1">
      <c r="A182" s="16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</row>
    <row r="183" spans="1:127" ht="18" customHeight="1">
      <c r="A183" s="16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</row>
    <row r="184" spans="1:127" ht="18" customHeight="1">
      <c r="A184" s="16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</row>
    <row r="185" spans="1:127" ht="18" customHeight="1">
      <c r="A185" s="16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</row>
    <row r="186" spans="1:127" ht="18" customHeight="1">
      <c r="A186" s="16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</row>
    <row r="187" spans="1:127" ht="18" customHeight="1">
      <c r="A187" s="16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</row>
    <row r="188" spans="1:127" ht="18" customHeight="1">
      <c r="A188" s="16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</row>
    <row r="189" spans="1:127" ht="18" customHeight="1">
      <c r="A189" s="16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</row>
    <row r="190" spans="1:127" ht="18" customHeight="1">
      <c r="A190" s="16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</row>
    <row r="191" spans="1:127" ht="18" customHeight="1">
      <c r="A191" s="16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</row>
    <row r="192" spans="1:127" ht="18" customHeight="1">
      <c r="A192" s="16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</row>
    <row r="193" spans="1:127" ht="18" customHeight="1">
      <c r="A193" s="16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</row>
    <row r="194" spans="1:127" ht="18" customHeight="1">
      <c r="A194" s="16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</row>
    <row r="195" spans="1:127" ht="18" customHeight="1">
      <c r="A195" s="16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</row>
    <row r="196" spans="1:127" ht="18" customHeight="1">
      <c r="A196" s="16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</row>
    <row r="197" spans="1:127" ht="18" customHeight="1">
      <c r="A197" s="16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</row>
    <row r="198" spans="1:127" ht="18" customHeight="1">
      <c r="A198" s="16"/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</row>
    <row r="199" spans="1:127" ht="18" customHeight="1">
      <c r="A199" s="16"/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</row>
    <row r="200" spans="1:127" ht="18" customHeight="1">
      <c r="A200" s="16"/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</row>
    <row r="201" spans="1:127" ht="18" customHeight="1">
      <c r="A201" s="16"/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</row>
    <row r="202" spans="1:127" ht="18" customHeight="1">
      <c r="A202" s="16"/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</row>
    <row r="203" spans="1:127" ht="18" customHeight="1">
      <c r="A203" s="16"/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</row>
    <row r="204" spans="1:127" ht="18" customHeight="1">
      <c r="A204" s="16"/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</row>
    <row r="205" spans="1:127" ht="18" customHeight="1">
      <c r="A205" s="16"/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</row>
    <row r="206" spans="1:127" ht="18" customHeight="1">
      <c r="A206" s="16"/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</row>
    <row r="207" spans="1:127" ht="18" customHeight="1">
      <c r="A207" s="16"/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</row>
    <row r="208" spans="1:127" ht="18" customHeight="1">
      <c r="A208" s="16"/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</row>
    <row r="209" spans="1:127" ht="18" customHeight="1">
      <c r="A209" s="16"/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</row>
    <row r="210" spans="1:127" ht="18" customHeight="1">
      <c r="A210" s="16"/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</row>
    <row r="211" spans="1:127" ht="18" customHeight="1">
      <c r="A211" s="16"/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</row>
    <row r="212" spans="1:127" ht="18" customHeight="1">
      <c r="A212" s="16"/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</row>
    <row r="213" spans="1:127" ht="18" customHeight="1">
      <c r="A213" s="16"/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</row>
    <row r="214" spans="1:127" ht="18" customHeight="1">
      <c r="A214" s="16"/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</row>
    <row r="215" spans="1:127" ht="18" customHeight="1">
      <c r="A215" s="16"/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</row>
    <row r="216" spans="1:127" ht="18" customHeight="1">
      <c r="A216" s="16"/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</row>
    <row r="217" spans="1:127" ht="18" customHeight="1">
      <c r="A217" s="16"/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</row>
    <row r="218" spans="1:127" ht="18" customHeight="1">
      <c r="A218" s="16"/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</row>
    <row r="219" spans="1:127" ht="18" customHeight="1">
      <c r="A219" s="16"/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</row>
    <row r="220" spans="1:127" ht="18" customHeight="1">
      <c r="A220" s="16"/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</row>
    <row r="221" spans="1:127" ht="18" customHeight="1">
      <c r="A221" s="16"/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</row>
    <row r="222" spans="1:127" ht="18" customHeight="1">
      <c r="A222" s="16"/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</row>
    <row r="223" spans="1:127" ht="18" customHeight="1">
      <c r="A223" s="16"/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</row>
    <row r="224" spans="1:127" ht="18" customHeight="1">
      <c r="A224" s="16"/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</row>
    <row r="225" spans="1:127" ht="18" customHeight="1">
      <c r="A225" s="16"/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</row>
    <row r="226" spans="1:127" ht="18" customHeight="1">
      <c r="A226" s="16"/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</row>
    <row r="227" spans="1:127" ht="18" customHeight="1">
      <c r="A227" s="16"/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</row>
    <row r="228" spans="1:127" ht="18" customHeight="1">
      <c r="A228" s="16"/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</row>
    <row r="229" spans="1:127" ht="18" customHeight="1">
      <c r="A229" s="16"/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</row>
    <row r="230" spans="1:127" ht="18" customHeight="1">
      <c r="A230" s="16"/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</row>
    <row r="231" spans="1:127" ht="18" customHeight="1">
      <c r="A231" s="16"/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</row>
    <row r="232" spans="1:127" ht="18" customHeight="1">
      <c r="A232" s="16"/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</row>
    <row r="233" spans="1:127" ht="18" customHeight="1">
      <c r="A233" s="16"/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</row>
    <row r="234" spans="1:127" ht="18" customHeight="1">
      <c r="A234" s="16"/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</row>
    <row r="235" spans="1:127" ht="18" customHeight="1">
      <c r="A235" s="16"/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</row>
    <row r="236" spans="1:127" ht="18" customHeight="1">
      <c r="A236" s="16"/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</row>
    <row r="237" spans="1:127" ht="18" customHeight="1">
      <c r="A237" s="16"/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</row>
    <row r="238" spans="1:127" ht="18" customHeight="1">
      <c r="A238" s="16"/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</row>
    <row r="239" spans="1:127" ht="18" customHeight="1">
      <c r="A239" s="16"/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</row>
    <row r="240" spans="1:127" ht="18" customHeight="1">
      <c r="A240" s="16"/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</row>
    <row r="241" spans="1:127" ht="18" customHeight="1">
      <c r="A241" s="16"/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</row>
    <row r="242" spans="1:127" ht="18" customHeight="1">
      <c r="A242" s="16"/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</row>
    <row r="243" spans="1:127" ht="18" customHeight="1">
      <c r="A243" s="16"/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</row>
    <row r="244" spans="1:127" ht="18" customHeight="1">
      <c r="A244" s="16"/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</row>
    <row r="245" spans="1:127" ht="18" customHeight="1">
      <c r="A245" s="16"/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</row>
    <row r="246" spans="1:127" ht="18" customHeight="1">
      <c r="A246" s="16"/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</row>
    <row r="247" spans="1:127" ht="18" customHeight="1">
      <c r="A247" s="16"/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</row>
    <row r="248" spans="1:127" ht="18" customHeight="1">
      <c r="A248" s="16"/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</row>
    <row r="249" spans="1:127" ht="18" customHeight="1">
      <c r="A249" s="16"/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</row>
    <row r="250" spans="1:127" ht="18" customHeight="1">
      <c r="A250" s="16"/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</row>
    <row r="251" spans="1:127" ht="18" customHeight="1">
      <c r="A251" s="16"/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</row>
    <row r="252" spans="1:127" ht="18" customHeight="1">
      <c r="A252" s="16"/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</row>
    <row r="253" spans="1:127" ht="18" customHeight="1">
      <c r="A253" s="16"/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</row>
    <row r="254" spans="1:127" ht="18" customHeight="1">
      <c r="A254" s="16"/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</row>
    <row r="255" spans="1:127" ht="18" customHeight="1">
      <c r="A255" s="16"/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</row>
    <row r="256" spans="1:127" ht="18" customHeight="1">
      <c r="A256" s="16"/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</row>
    <row r="257" spans="1:127" ht="18" customHeight="1">
      <c r="A257" s="16"/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</row>
    <row r="258" spans="1:127" ht="18" customHeight="1">
      <c r="A258" s="16"/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</row>
    <row r="259" spans="1:127" ht="18" customHeight="1">
      <c r="A259" s="16"/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</row>
    <row r="260" spans="1:127" ht="18" customHeight="1">
      <c r="A260" s="16"/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</row>
    <row r="261" spans="1:127" ht="18" customHeight="1">
      <c r="A261" s="16"/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</row>
    <row r="262" spans="1:127" ht="18" customHeight="1">
      <c r="A262" s="16"/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</row>
    <row r="263" spans="1:127" ht="18" customHeight="1">
      <c r="A263" s="16"/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</row>
    <row r="264" spans="1:127" ht="18" customHeight="1">
      <c r="A264" s="16"/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</row>
    <row r="265" spans="1:127" ht="18" customHeight="1">
      <c r="A265" s="16"/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</row>
    <row r="266" spans="1:127" ht="18" customHeight="1">
      <c r="A266" s="16"/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</row>
    <row r="267" spans="1:127" ht="18" customHeight="1">
      <c r="A267" s="16"/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7"/>
      <c r="DW267" s="17"/>
    </row>
    <row r="268" spans="1:127" ht="18" customHeight="1">
      <c r="A268" s="16"/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  <c r="DO268" s="17"/>
      <c r="DP268" s="17"/>
      <c r="DQ268" s="17"/>
      <c r="DR268" s="17"/>
      <c r="DS268" s="17"/>
      <c r="DT268" s="17"/>
      <c r="DU268" s="17"/>
      <c r="DV268" s="17"/>
      <c r="DW268" s="17"/>
    </row>
    <row r="269" spans="1:127" ht="18" customHeight="1">
      <c r="A269" s="16"/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  <c r="DV269" s="17"/>
      <c r="DW269" s="17"/>
    </row>
    <row r="270" spans="1:127" ht="18" customHeight="1">
      <c r="A270" s="16"/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  <c r="DV270" s="17"/>
      <c r="DW270" s="17"/>
    </row>
    <row r="271" spans="1:127" ht="18" customHeight="1">
      <c r="A271" s="16"/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  <c r="DV271" s="17"/>
      <c r="DW271" s="17"/>
    </row>
    <row r="272" spans="1:127" ht="18" customHeight="1">
      <c r="A272" s="16"/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</row>
    <row r="273" spans="1:127" ht="18" customHeight="1">
      <c r="A273" s="16"/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  <c r="DU273" s="17"/>
      <c r="DV273" s="17"/>
      <c r="DW273" s="17"/>
    </row>
    <row r="274" spans="1:127" ht="18" customHeight="1">
      <c r="A274" s="16"/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  <c r="DV274" s="17"/>
      <c r="DW274" s="17"/>
    </row>
    <row r="275" spans="1:127" ht="18" customHeight="1">
      <c r="A275" s="16"/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  <c r="DU275" s="17"/>
      <c r="DV275" s="17"/>
      <c r="DW275" s="17"/>
    </row>
    <row r="276" spans="1:127" ht="18" customHeight="1">
      <c r="A276" s="16"/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  <c r="DO276" s="17"/>
      <c r="DP276" s="17"/>
      <c r="DQ276" s="17"/>
      <c r="DR276" s="17"/>
      <c r="DS276" s="17"/>
      <c r="DT276" s="17"/>
      <c r="DU276" s="17"/>
      <c r="DV276" s="17"/>
      <c r="DW276" s="17"/>
    </row>
    <row r="277" spans="1:127" ht="18" customHeight="1">
      <c r="A277" s="16"/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  <c r="DP277" s="17"/>
      <c r="DQ277" s="17"/>
      <c r="DR277" s="17"/>
      <c r="DS277" s="17"/>
      <c r="DT277" s="17"/>
      <c r="DU277" s="17"/>
      <c r="DV277" s="17"/>
      <c r="DW277" s="17"/>
    </row>
    <row r="278" spans="1:127" ht="18" customHeight="1">
      <c r="A278" s="16"/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  <c r="DV278" s="17"/>
      <c r="DW278" s="17"/>
    </row>
    <row r="279" spans="1:127" ht="18" customHeight="1">
      <c r="A279" s="16"/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  <c r="DU279" s="17"/>
      <c r="DV279" s="17"/>
      <c r="DW279" s="17"/>
    </row>
    <row r="280" spans="1:127" ht="18" customHeight="1">
      <c r="A280" s="16"/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  <c r="DV280" s="17"/>
      <c r="DW280" s="17"/>
    </row>
    <row r="281" spans="1:127" ht="18" customHeight="1">
      <c r="A281" s="16"/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  <c r="DU281" s="17"/>
      <c r="DV281" s="17"/>
      <c r="DW281" s="17"/>
    </row>
    <row r="282" spans="1:127" ht="18" customHeight="1">
      <c r="A282" s="16"/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  <c r="DU282" s="17"/>
      <c r="DV282" s="17"/>
      <c r="DW282" s="17"/>
    </row>
    <row r="283" spans="1:127" ht="18" customHeight="1">
      <c r="A283" s="16"/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  <c r="DP283" s="17"/>
      <c r="DQ283" s="17"/>
      <c r="DR283" s="17"/>
      <c r="DS283" s="17"/>
      <c r="DT283" s="17"/>
      <c r="DU283" s="17"/>
      <c r="DV283" s="17"/>
      <c r="DW283" s="17"/>
    </row>
    <row r="284" spans="1:127" ht="18" customHeight="1">
      <c r="A284" s="16"/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  <c r="DO284" s="17"/>
      <c r="DP284" s="17"/>
      <c r="DQ284" s="17"/>
      <c r="DR284" s="17"/>
      <c r="DS284" s="17"/>
      <c r="DT284" s="17"/>
      <c r="DU284" s="17"/>
      <c r="DV284" s="17"/>
      <c r="DW284" s="17"/>
    </row>
    <row r="285" spans="1:127" ht="18" customHeight="1">
      <c r="A285" s="16"/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  <c r="DO285" s="17"/>
      <c r="DP285" s="17"/>
      <c r="DQ285" s="17"/>
      <c r="DR285" s="17"/>
      <c r="DS285" s="17"/>
      <c r="DT285" s="17"/>
      <c r="DU285" s="17"/>
      <c r="DV285" s="17"/>
      <c r="DW285" s="17"/>
    </row>
    <row r="286" spans="1:127" ht="18" customHeight="1">
      <c r="A286" s="16"/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  <c r="DP286" s="17"/>
      <c r="DQ286" s="17"/>
      <c r="DR286" s="17"/>
      <c r="DS286" s="17"/>
      <c r="DT286" s="17"/>
      <c r="DU286" s="17"/>
      <c r="DV286" s="17"/>
      <c r="DW286" s="17"/>
    </row>
    <row r="287" spans="1:127" ht="18" customHeight="1">
      <c r="A287" s="16"/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  <c r="DP287" s="17"/>
      <c r="DQ287" s="17"/>
      <c r="DR287" s="17"/>
      <c r="DS287" s="17"/>
      <c r="DT287" s="17"/>
      <c r="DU287" s="17"/>
      <c r="DV287" s="17"/>
      <c r="DW287" s="17"/>
    </row>
    <row r="288" spans="1:127" ht="18" customHeight="1">
      <c r="A288" s="16"/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  <c r="DU288" s="17"/>
      <c r="DV288" s="17"/>
      <c r="DW288" s="17"/>
    </row>
    <row r="289" spans="1:127" ht="18" customHeight="1">
      <c r="A289" s="16"/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  <c r="DP289" s="17"/>
      <c r="DQ289" s="17"/>
      <c r="DR289" s="17"/>
      <c r="DS289" s="17"/>
      <c r="DT289" s="17"/>
      <c r="DU289" s="17"/>
      <c r="DV289" s="17"/>
      <c r="DW289" s="17"/>
    </row>
    <row r="290" spans="1:127" ht="18" customHeight="1">
      <c r="A290" s="16"/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7"/>
      <c r="DW290" s="17"/>
    </row>
    <row r="291" spans="1:127" ht="18" customHeight="1">
      <c r="A291" s="16"/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7"/>
      <c r="DW291" s="17"/>
    </row>
    <row r="292" spans="1:127" ht="18" customHeight="1">
      <c r="A292" s="16"/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7"/>
      <c r="DW292" s="17"/>
    </row>
    <row r="293" spans="1:127" ht="18" customHeight="1">
      <c r="A293" s="16"/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  <c r="DV293" s="17"/>
      <c r="DW293" s="17"/>
    </row>
    <row r="294" spans="1:127" ht="18" customHeight="1">
      <c r="A294" s="16"/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7"/>
      <c r="DW294" s="17"/>
    </row>
    <row r="295" spans="1:127" ht="18" customHeight="1">
      <c r="A295" s="16"/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7"/>
      <c r="DW295" s="17"/>
    </row>
    <row r="296" spans="1:127" ht="18" customHeight="1">
      <c r="A296" s="16"/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</row>
    <row r="297" spans="1:127" ht="18" customHeight="1">
      <c r="A297" s="16"/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  <c r="DU297" s="17"/>
      <c r="DV297" s="17"/>
      <c r="DW297" s="17"/>
    </row>
    <row r="298" spans="1:127" ht="18" customHeight="1">
      <c r="A298" s="16"/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  <c r="DV298" s="17"/>
      <c r="DW298" s="17"/>
    </row>
    <row r="299" spans="1:127" ht="18" customHeight="1">
      <c r="A299" s="16"/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  <c r="DV299" s="17"/>
      <c r="DW299" s="17"/>
    </row>
    <row r="300" spans="1:127" ht="18" customHeight="1">
      <c r="A300" s="16"/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/>
    </row>
    <row r="301" spans="1:127" ht="18" customHeight="1">
      <c r="A301" s="16"/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/>
    </row>
    <row r="302" spans="1:127" ht="18" customHeight="1">
      <c r="A302" s="16"/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</row>
    <row r="303" spans="1:127" ht="18" customHeight="1">
      <c r="A303" s="16"/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  <c r="DV303" s="17"/>
      <c r="DW303" s="17"/>
    </row>
    <row r="304" spans="1:127" ht="18" customHeight="1">
      <c r="A304" s="16"/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  <c r="DW304" s="17"/>
    </row>
    <row r="305" spans="1:127" ht="18" customHeight="1">
      <c r="A305" s="16"/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  <c r="DV305" s="17"/>
      <c r="DW305" s="17"/>
    </row>
    <row r="306" spans="1:127" ht="18" customHeight="1">
      <c r="A306" s="16"/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</row>
    <row r="307" spans="1:127" ht="18" customHeight="1">
      <c r="A307" s="16"/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  <c r="DW307" s="17"/>
    </row>
    <row r="308" spans="1:127" ht="18" customHeight="1">
      <c r="A308" s="16"/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  <c r="DW308" s="17"/>
    </row>
    <row r="309" spans="1:127" ht="18" customHeight="1">
      <c r="A309" s="16"/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  <c r="DV309" s="17"/>
      <c r="DW309" s="17"/>
    </row>
    <row r="310" spans="1:127" ht="18" customHeight="1">
      <c r="A310" s="16"/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  <c r="DV310" s="17"/>
      <c r="DW310" s="17"/>
    </row>
    <row r="311" spans="1:127" ht="18" customHeight="1">
      <c r="A311" s="16"/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  <c r="DP311" s="17"/>
      <c r="DQ311" s="17"/>
      <c r="DR311" s="17"/>
      <c r="DS311" s="17"/>
      <c r="DT311" s="17"/>
      <c r="DU311" s="17"/>
      <c r="DV311" s="17"/>
      <c r="DW311" s="17"/>
    </row>
    <row r="312" spans="1:127" ht="18" customHeight="1">
      <c r="A312" s="16"/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  <c r="DV312" s="17"/>
      <c r="DW312" s="17"/>
    </row>
    <row r="313" spans="1:127" ht="18" customHeight="1">
      <c r="A313" s="16"/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  <c r="DV313" s="17"/>
      <c r="DW313" s="17"/>
    </row>
    <row r="314" spans="1:127" ht="18" customHeight="1">
      <c r="A314" s="16"/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  <c r="DU314" s="17"/>
      <c r="DV314" s="17"/>
      <c r="DW314" s="17"/>
    </row>
    <row r="315" spans="1:127" ht="18" customHeight="1">
      <c r="A315" s="16"/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  <c r="DV315" s="17"/>
      <c r="DW315" s="17"/>
    </row>
    <row r="316" spans="1:127" ht="18" customHeight="1">
      <c r="A316" s="16"/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  <c r="DU316" s="17"/>
      <c r="DV316" s="17"/>
      <c r="DW316" s="17"/>
    </row>
    <row r="317" spans="1:127" ht="18" customHeight="1">
      <c r="A317" s="16"/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  <c r="DW317" s="17"/>
    </row>
    <row r="318" spans="1:127" ht="18" customHeight="1">
      <c r="A318" s="16"/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  <c r="DU318" s="17"/>
      <c r="DV318" s="17"/>
      <c r="DW318" s="17"/>
    </row>
    <row r="319" spans="1:127" ht="18" customHeight="1">
      <c r="A319" s="16"/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  <c r="DV319" s="17"/>
      <c r="DW319" s="17"/>
    </row>
    <row r="320" spans="1:127" ht="18" customHeight="1">
      <c r="A320" s="16"/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  <c r="DU320" s="17"/>
      <c r="DV320" s="17"/>
      <c r="DW320" s="17"/>
    </row>
    <row r="321" spans="1:127" ht="18" customHeight="1">
      <c r="A321" s="16"/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  <c r="DU321" s="17"/>
      <c r="DV321" s="17"/>
      <c r="DW321" s="17"/>
    </row>
    <row r="322" spans="1:127" ht="18" customHeight="1">
      <c r="A322" s="16"/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  <c r="DU322" s="17"/>
      <c r="DV322" s="17"/>
      <c r="DW322" s="17"/>
    </row>
    <row r="323" spans="1:127" ht="18" customHeight="1">
      <c r="A323" s="16"/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  <c r="DU323" s="17"/>
      <c r="DV323" s="17"/>
      <c r="DW323" s="17"/>
    </row>
    <row r="324" spans="1:127" ht="18" customHeight="1">
      <c r="A324" s="16"/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  <c r="DP324" s="17"/>
      <c r="DQ324" s="17"/>
      <c r="DR324" s="17"/>
      <c r="DS324" s="17"/>
      <c r="DT324" s="17"/>
      <c r="DU324" s="17"/>
      <c r="DV324" s="17"/>
      <c r="DW324" s="17"/>
    </row>
    <row r="325" spans="1:127" ht="18" customHeight="1">
      <c r="A325" s="16"/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  <c r="DU325" s="17"/>
      <c r="DV325" s="17"/>
      <c r="DW325" s="17"/>
    </row>
    <row r="326" spans="1:127" ht="18" customHeight="1">
      <c r="A326" s="16"/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  <c r="DV326" s="17"/>
      <c r="DW326" s="17"/>
    </row>
    <row r="327" spans="1:127" ht="18" customHeight="1">
      <c r="A327" s="16"/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  <c r="DU327" s="17"/>
      <c r="DV327" s="17"/>
      <c r="DW327" s="17"/>
    </row>
    <row r="328" spans="1:127" ht="18" customHeight="1">
      <c r="A328" s="16"/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  <c r="DV328" s="17"/>
      <c r="DW328" s="17"/>
    </row>
    <row r="329" spans="1:127" ht="18" customHeight="1">
      <c r="A329" s="16"/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  <c r="DV329" s="17"/>
      <c r="DW329" s="17"/>
    </row>
    <row r="330" spans="1:127" ht="18" customHeight="1">
      <c r="A330" s="16"/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  <c r="DV330" s="17"/>
      <c r="DW330" s="17"/>
    </row>
    <row r="331" spans="1:127" ht="18" customHeight="1">
      <c r="A331" s="16"/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  <c r="DW331" s="17"/>
    </row>
    <row r="332" spans="1:127" ht="18" customHeight="1">
      <c r="A332" s="16"/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</row>
    <row r="333" spans="1:127" ht="18" customHeight="1">
      <c r="A333" s="16"/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  <c r="DP333" s="17"/>
      <c r="DQ333" s="17"/>
      <c r="DR333" s="17"/>
      <c r="DS333" s="17"/>
      <c r="DT333" s="17"/>
      <c r="DU333" s="17"/>
      <c r="DV333" s="17"/>
      <c r="DW333" s="17"/>
    </row>
    <row r="334" spans="1:127" ht="18" customHeight="1">
      <c r="A334" s="16"/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  <c r="DU334" s="17"/>
      <c r="DV334" s="17"/>
      <c r="DW334" s="17"/>
    </row>
    <row r="335" spans="1:127" ht="18" customHeight="1">
      <c r="A335" s="16"/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  <c r="DU335" s="17"/>
      <c r="DV335" s="17"/>
      <c r="DW335" s="17"/>
    </row>
    <row r="336" spans="1:127" ht="18" customHeight="1">
      <c r="A336" s="16"/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  <c r="DO336" s="17"/>
      <c r="DP336" s="17"/>
      <c r="DQ336" s="17"/>
      <c r="DR336" s="17"/>
      <c r="DS336" s="17"/>
      <c r="DT336" s="17"/>
      <c r="DU336" s="17"/>
      <c r="DV336" s="17"/>
      <c r="DW336" s="17"/>
    </row>
    <row r="337" spans="1:127" ht="18" customHeight="1">
      <c r="A337" s="16"/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  <c r="DO337" s="17"/>
      <c r="DP337" s="17"/>
      <c r="DQ337" s="17"/>
      <c r="DR337" s="17"/>
      <c r="DS337" s="17"/>
      <c r="DT337" s="17"/>
      <c r="DU337" s="17"/>
      <c r="DV337" s="17"/>
      <c r="DW337" s="17"/>
    </row>
    <row r="338" spans="1:127" ht="18" customHeight="1">
      <c r="A338" s="16"/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  <c r="DO338" s="17"/>
      <c r="DP338" s="17"/>
      <c r="DQ338" s="17"/>
      <c r="DR338" s="17"/>
      <c r="DS338" s="17"/>
      <c r="DT338" s="17"/>
      <c r="DU338" s="17"/>
      <c r="DV338" s="17"/>
      <c r="DW338" s="17"/>
    </row>
    <row r="339" spans="1:127" ht="18" customHeight="1">
      <c r="A339" s="16"/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  <c r="DO339" s="17"/>
      <c r="DP339" s="17"/>
      <c r="DQ339" s="17"/>
      <c r="DR339" s="17"/>
      <c r="DS339" s="17"/>
      <c r="DT339" s="17"/>
      <c r="DU339" s="17"/>
      <c r="DV339" s="17"/>
      <c r="DW339" s="17"/>
    </row>
    <row r="340" spans="1:127" ht="18" customHeight="1">
      <c r="A340" s="16"/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  <c r="DO340" s="17"/>
      <c r="DP340" s="17"/>
      <c r="DQ340" s="17"/>
      <c r="DR340" s="17"/>
      <c r="DS340" s="17"/>
      <c r="DT340" s="17"/>
      <c r="DU340" s="17"/>
      <c r="DV340" s="17"/>
      <c r="DW340" s="17"/>
    </row>
    <row r="341" spans="1:127" ht="18" customHeight="1">
      <c r="A341" s="16"/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  <c r="DO341" s="17"/>
      <c r="DP341" s="17"/>
      <c r="DQ341" s="17"/>
      <c r="DR341" s="17"/>
      <c r="DS341" s="17"/>
      <c r="DT341" s="17"/>
      <c r="DU341" s="17"/>
      <c r="DV341" s="17"/>
      <c r="DW341" s="17"/>
    </row>
    <row r="342" spans="1:127" ht="18" customHeight="1">
      <c r="A342" s="16"/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  <c r="DO342" s="17"/>
      <c r="DP342" s="17"/>
      <c r="DQ342" s="17"/>
      <c r="DR342" s="17"/>
      <c r="DS342" s="17"/>
      <c r="DT342" s="17"/>
      <c r="DU342" s="17"/>
      <c r="DV342" s="17"/>
      <c r="DW342" s="17"/>
    </row>
    <row r="343" spans="1:127" ht="18" customHeight="1">
      <c r="A343" s="16"/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  <c r="DO343" s="17"/>
      <c r="DP343" s="17"/>
      <c r="DQ343" s="17"/>
      <c r="DR343" s="17"/>
      <c r="DS343" s="17"/>
      <c r="DT343" s="17"/>
      <c r="DU343" s="17"/>
      <c r="DV343" s="17"/>
      <c r="DW343" s="17"/>
    </row>
    <row r="344" spans="1:127" ht="18" customHeight="1">
      <c r="A344" s="16"/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  <c r="DO344" s="17"/>
      <c r="DP344" s="17"/>
      <c r="DQ344" s="17"/>
      <c r="DR344" s="17"/>
      <c r="DS344" s="17"/>
      <c r="DT344" s="17"/>
      <c r="DU344" s="17"/>
      <c r="DV344" s="17"/>
      <c r="DW344" s="17"/>
    </row>
    <row r="345" spans="1:127" ht="18" customHeight="1">
      <c r="A345" s="16"/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  <c r="DO345" s="17"/>
      <c r="DP345" s="17"/>
      <c r="DQ345" s="17"/>
      <c r="DR345" s="17"/>
      <c r="DS345" s="17"/>
      <c r="DT345" s="17"/>
      <c r="DU345" s="17"/>
      <c r="DV345" s="17"/>
      <c r="DW345" s="17"/>
    </row>
    <row r="346" spans="1:127" ht="18" customHeight="1">
      <c r="A346" s="16"/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  <c r="DO346" s="17"/>
      <c r="DP346" s="17"/>
      <c r="DQ346" s="17"/>
      <c r="DR346" s="17"/>
      <c r="DS346" s="17"/>
      <c r="DT346" s="17"/>
      <c r="DU346" s="17"/>
      <c r="DV346" s="17"/>
      <c r="DW346" s="17"/>
    </row>
    <row r="347" spans="1:127" ht="18" customHeight="1">
      <c r="A347" s="16"/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  <c r="DO347" s="17"/>
      <c r="DP347" s="17"/>
      <c r="DQ347" s="17"/>
      <c r="DR347" s="17"/>
      <c r="DS347" s="17"/>
      <c r="DT347" s="17"/>
      <c r="DU347" s="17"/>
      <c r="DV347" s="17"/>
      <c r="DW347" s="17"/>
    </row>
    <row r="348" spans="1:127" ht="18" customHeight="1">
      <c r="A348" s="16"/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  <c r="DO348" s="17"/>
      <c r="DP348" s="17"/>
      <c r="DQ348" s="17"/>
      <c r="DR348" s="17"/>
      <c r="DS348" s="17"/>
      <c r="DT348" s="17"/>
      <c r="DU348" s="17"/>
      <c r="DV348" s="17"/>
      <c r="DW348" s="17"/>
    </row>
    <row r="349" spans="1:127" ht="18" customHeight="1">
      <c r="A349" s="16"/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  <c r="DO349" s="17"/>
      <c r="DP349" s="17"/>
      <c r="DQ349" s="17"/>
      <c r="DR349" s="17"/>
      <c r="DS349" s="17"/>
      <c r="DT349" s="17"/>
      <c r="DU349" s="17"/>
      <c r="DV349" s="17"/>
      <c r="DW349" s="17"/>
    </row>
    <row r="350" spans="1:127" ht="18" customHeight="1">
      <c r="A350" s="16"/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  <c r="DO350" s="17"/>
      <c r="DP350" s="17"/>
      <c r="DQ350" s="17"/>
      <c r="DR350" s="17"/>
      <c r="DS350" s="17"/>
      <c r="DT350" s="17"/>
      <c r="DU350" s="17"/>
      <c r="DV350" s="17"/>
      <c r="DW350" s="17"/>
    </row>
    <row r="351" spans="1:127" ht="18" customHeight="1">
      <c r="A351" s="16"/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  <c r="DO351" s="17"/>
      <c r="DP351" s="17"/>
      <c r="DQ351" s="17"/>
      <c r="DR351" s="17"/>
      <c r="DS351" s="17"/>
      <c r="DT351" s="17"/>
      <c r="DU351" s="17"/>
      <c r="DV351" s="17"/>
      <c r="DW351" s="17"/>
    </row>
    <row r="352" spans="1:127" ht="18" customHeight="1">
      <c r="A352" s="16"/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  <c r="DO352" s="17"/>
      <c r="DP352" s="17"/>
      <c r="DQ352" s="17"/>
      <c r="DR352" s="17"/>
      <c r="DS352" s="17"/>
      <c r="DT352" s="17"/>
      <c r="DU352" s="17"/>
      <c r="DV352" s="17"/>
      <c r="DW352" s="17"/>
    </row>
    <row r="353" spans="1:127" ht="18" customHeight="1">
      <c r="A353" s="16"/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  <c r="DO353" s="17"/>
      <c r="DP353" s="17"/>
      <c r="DQ353" s="17"/>
      <c r="DR353" s="17"/>
      <c r="DS353" s="17"/>
      <c r="DT353" s="17"/>
      <c r="DU353" s="17"/>
      <c r="DV353" s="17"/>
      <c r="DW353" s="17"/>
    </row>
    <row r="354" spans="1:127" ht="18" customHeight="1">
      <c r="A354" s="16"/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  <c r="DO354" s="17"/>
      <c r="DP354" s="17"/>
      <c r="DQ354" s="17"/>
      <c r="DR354" s="17"/>
      <c r="DS354" s="17"/>
      <c r="DT354" s="17"/>
      <c r="DU354" s="17"/>
      <c r="DV354" s="17"/>
      <c r="DW354" s="17"/>
    </row>
    <row r="355" spans="1:127" ht="18" customHeight="1">
      <c r="A355" s="16"/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  <c r="DO355" s="17"/>
      <c r="DP355" s="17"/>
      <c r="DQ355" s="17"/>
      <c r="DR355" s="17"/>
      <c r="DS355" s="17"/>
      <c r="DT355" s="17"/>
      <c r="DU355" s="17"/>
      <c r="DV355" s="17"/>
      <c r="DW355" s="17"/>
    </row>
    <row r="356" spans="1:127" ht="18" customHeight="1">
      <c r="A356" s="16"/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  <c r="DO356" s="17"/>
      <c r="DP356" s="17"/>
      <c r="DQ356" s="17"/>
      <c r="DR356" s="17"/>
      <c r="DS356" s="17"/>
      <c r="DT356" s="17"/>
      <c r="DU356" s="17"/>
      <c r="DV356" s="17"/>
      <c r="DW356" s="17"/>
    </row>
    <row r="357" spans="1:127" ht="18" customHeight="1">
      <c r="A357" s="16"/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  <c r="DO357" s="17"/>
      <c r="DP357" s="17"/>
      <c r="DQ357" s="17"/>
      <c r="DR357" s="17"/>
      <c r="DS357" s="17"/>
      <c r="DT357" s="17"/>
      <c r="DU357" s="17"/>
      <c r="DV357" s="17"/>
      <c r="DW357" s="17"/>
    </row>
    <row r="358" spans="1:127" ht="18" customHeight="1">
      <c r="A358" s="16"/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  <c r="DO358" s="17"/>
      <c r="DP358" s="17"/>
      <c r="DQ358" s="17"/>
      <c r="DR358" s="17"/>
      <c r="DS358" s="17"/>
      <c r="DT358" s="17"/>
      <c r="DU358" s="17"/>
      <c r="DV358" s="17"/>
      <c r="DW358" s="17"/>
    </row>
    <row r="359" spans="1:127" ht="18" customHeight="1">
      <c r="A359" s="16"/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  <c r="DO359" s="17"/>
      <c r="DP359" s="17"/>
      <c r="DQ359" s="17"/>
      <c r="DR359" s="17"/>
      <c r="DS359" s="17"/>
      <c r="DT359" s="17"/>
      <c r="DU359" s="17"/>
      <c r="DV359" s="17"/>
      <c r="DW359" s="17"/>
    </row>
    <row r="360" spans="1:127" ht="18" customHeight="1">
      <c r="A360" s="16"/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  <c r="DO360" s="17"/>
      <c r="DP360" s="17"/>
      <c r="DQ360" s="17"/>
      <c r="DR360" s="17"/>
      <c r="DS360" s="17"/>
      <c r="DT360" s="17"/>
      <c r="DU360" s="17"/>
      <c r="DV360" s="17"/>
      <c r="DW360" s="17"/>
    </row>
    <row r="361" spans="1:127" ht="18" customHeight="1">
      <c r="A361" s="16"/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  <c r="DO361" s="17"/>
      <c r="DP361" s="17"/>
      <c r="DQ361" s="17"/>
      <c r="DR361" s="17"/>
      <c r="DS361" s="17"/>
      <c r="DT361" s="17"/>
      <c r="DU361" s="17"/>
      <c r="DV361" s="17"/>
      <c r="DW361" s="17"/>
    </row>
    <row r="362" spans="1:127" ht="18" customHeight="1">
      <c r="A362" s="16"/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</row>
    <row r="363" spans="1:127" ht="18" customHeight="1">
      <c r="A363" s="16"/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  <c r="DO363" s="17"/>
      <c r="DP363" s="17"/>
      <c r="DQ363" s="17"/>
      <c r="DR363" s="17"/>
      <c r="DS363" s="17"/>
      <c r="DT363" s="17"/>
      <c r="DU363" s="17"/>
      <c r="DV363" s="17"/>
      <c r="DW363" s="17"/>
    </row>
    <row r="364" spans="1:127" ht="18" customHeight="1">
      <c r="A364" s="16"/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  <c r="DO364" s="17"/>
      <c r="DP364" s="17"/>
      <c r="DQ364" s="17"/>
      <c r="DR364" s="17"/>
      <c r="DS364" s="17"/>
      <c r="DT364" s="17"/>
      <c r="DU364" s="17"/>
      <c r="DV364" s="17"/>
      <c r="DW364" s="17"/>
    </row>
    <row r="365" spans="1:127" ht="18" customHeight="1">
      <c r="A365" s="16"/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  <c r="DU365" s="17"/>
      <c r="DV365" s="17"/>
      <c r="DW365" s="17"/>
    </row>
    <row r="366" spans="1:127" ht="18" customHeight="1">
      <c r="A366" s="16"/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  <c r="DO366" s="17"/>
      <c r="DP366" s="17"/>
      <c r="DQ366" s="17"/>
      <c r="DR366" s="17"/>
      <c r="DS366" s="17"/>
      <c r="DT366" s="17"/>
      <c r="DU366" s="17"/>
      <c r="DV366" s="17"/>
      <c r="DW366" s="17"/>
    </row>
    <row r="367" spans="1:127" ht="18" customHeight="1">
      <c r="A367" s="16"/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  <c r="DO367" s="17"/>
      <c r="DP367" s="17"/>
      <c r="DQ367" s="17"/>
      <c r="DR367" s="17"/>
      <c r="DS367" s="17"/>
      <c r="DT367" s="17"/>
      <c r="DU367" s="17"/>
      <c r="DV367" s="17"/>
      <c r="DW367" s="17"/>
    </row>
    <row r="368" spans="1:127" ht="18" customHeight="1">
      <c r="A368" s="16"/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  <c r="DO368" s="17"/>
      <c r="DP368" s="17"/>
      <c r="DQ368" s="17"/>
      <c r="DR368" s="17"/>
      <c r="DS368" s="17"/>
      <c r="DT368" s="17"/>
      <c r="DU368" s="17"/>
      <c r="DV368" s="17"/>
      <c r="DW368" s="17"/>
    </row>
    <row r="369" spans="1:127" ht="18" customHeight="1">
      <c r="A369" s="16"/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  <c r="DO369" s="17"/>
      <c r="DP369" s="17"/>
      <c r="DQ369" s="17"/>
      <c r="DR369" s="17"/>
      <c r="DS369" s="17"/>
      <c r="DT369" s="17"/>
      <c r="DU369" s="17"/>
      <c r="DV369" s="17"/>
      <c r="DW369" s="17"/>
    </row>
    <row r="370" spans="1:127" ht="18" customHeight="1">
      <c r="A370" s="16"/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  <c r="DO370" s="17"/>
      <c r="DP370" s="17"/>
      <c r="DQ370" s="17"/>
      <c r="DR370" s="17"/>
      <c r="DS370" s="17"/>
      <c r="DT370" s="17"/>
      <c r="DU370" s="17"/>
      <c r="DV370" s="17"/>
      <c r="DW370" s="17"/>
    </row>
    <row r="371" spans="1:127" ht="18" customHeight="1">
      <c r="A371" s="16"/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  <c r="DO371" s="17"/>
      <c r="DP371" s="17"/>
      <c r="DQ371" s="17"/>
      <c r="DR371" s="17"/>
      <c r="DS371" s="17"/>
      <c r="DT371" s="17"/>
      <c r="DU371" s="17"/>
      <c r="DV371" s="17"/>
      <c r="DW371" s="17"/>
    </row>
    <row r="372" spans="1:127" ht="18" customHeight="1">
      <c r="A372" s="16"/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  <c r="DO372" s="17"/>
      <c r="DP372" s="17"/>
      <c r="DQ372" s="17"/>
      <c r="DR372" s="17"/>
      <c r="DS372" s="17"/>
      <c r="DT372" s="17"/>
      <c r="DU372" s="17"/>
      <c r="DV372" s="17"/>
      <c r="DW372" s="17"/>
    </row>
    <row r="373" spans="1:127" ht="18" customHeight="1">
      <c r="A373" s="16"/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  <c r="DO373" s="17"/>
      <c r="DP373" s="17"/>
      <c r="DQ373" s="17"/>
      <c r="DR373" s="17"/>
      <c r="DS373" s="17"/>
      <c r="DT373" s="17"/>
      <c r="DU373" s="17"/>
      <c r="DV373" s="17"/>
      <c r="DW373" s="17"/>
    </row>
    <row r="374" spans="1:127" ht="18" customHeight="1">
      <c r="A374" s="16"/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  <c r="DO374" s="17"/>
      <c r="DP374" s="17"/>
      <c r="DQ374" s="17"/>
      <c r="DR374" s="17"/>
      <c r="DS374" s="17"/>
      <c r="DT374" s="17"/>
      <c r="DU374" s="17"/>
      <c r="DV374" s="17"/>
      <c r="DW374" s="17"/>
    </row>
    <row r="375" spans="1:127" ht="18" customHeight="1">
      <c r="A375" s="16"/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  <c r="DO375" s="17"/>
      <c r="DP375" s="17"/>
      <c r="DQ375" s="17"/>
      <c r="DR375" s="17"/>
      <c r="DS375" s="17"/>
      <c r="DT375" s="17"/>
      <c r="DU375" s="17"/>
      <c r="DV375" s="17"/>
      <c r="DW375" s="17"/>
    </row>
    <row r="376" spans="1:127" ht="18" customHeight="1">
      <c r="A376" s="16"/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  <c r="DO376" s="17"/>
      <c r="DP376" s="17"/>
      <c r="DQ376" s="17"/>
      <c r="DR376" s="17"/>
      <c r="DS376" s="17"/>
      <c r="DT376" s="17"/>
      <c r="DU376" s="17"/>
      <c r="DV376" s="17"/>
      <c r="DW376" s="17"/>
    </row>
    <row r="377" spans="1:127" ht="18" customHeight="1">
      <c r="A377" s="16"/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  <c r="DO377" s="17"/>
      <c r="DP377" s="17"/>
      <c r="DQ377" s="17"/>
      <c r="DR377" s="17"/>
      <c r="DS377" s="17"/>
      <c r="DT377" s="17"/>
      <c r="DU377" s="17"/>
      <c r="DV377" s="17"/>
      <c r="DW377" s="17"/>
    </row>
    <row r="378" spans="1:127" ht="18" customHeight="1">
      <c r="A378" s="16"/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  <c r="DO378" s="17"/>
      <c r="DP378" s="17"/>
      <c r="DQ378" s="17"/>
      <c r="DR378" s="17"/>
      <c r="DS378" s="17"/>
      <c r="DT378" s="17"/>
      <c r="DU378" s="17"/>
      <c r="DV378" s="17"/>
      <c r="DW378" s="17"/>
    </row>
    <row r="379" spans="1:127" ht="18" customHeight="1">
      <c r="A379" s="16"/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  <c r="DO379" s="17"/>
      <c r="DP379" s="17"/>
      <c r="DQ379" s="17"/>
      <c r="DR379" s="17"/>
      <c r="DS379" s="17"/>
      <c r="DT379" s="17"/>
      <c r="DU379" s="17"/>
      <c r="DV379" s="17"/>
      <c r="DW379" s="17"/>
    </row>
    <row r="380" spans="1:127" ht="18" customHeight="1">
      <c r="A380" s="16"/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  <c r="DO380" s="17"/>
      <c r="DP380" s="17"/>
      <c r="DQ380" s="17"/>
      <c r="DR380" s="17"/>
      <c r="DS380" s="17"/>
      <c r="DT380" s="17"/>
      <c r="DU380" s="17"/>
      <c r="DV380" s="17"/>
      <c r="DW380" s="17"/>
    </row>
    <row r="381" spans="1:127" ht="18" customHeight="1">
      <c r="A381" s="16"/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  <c r="DO381" s="17"/>
      <c r="DP381" s="17"/>
      <c r="DQ381" s="17"/>
      <c r="DR381" s="17"/>
      <c r="DS381" s="17"/>
      <c r="DT381" s="17"/>
      <c r="DU381" s="17"/>
      <c r="DV381" s="17"/>
      <c r="DW381" s="17"/>
    </row>
    <row r="382" spans="1:127" ht="18" customHeight="1">
      <c r="A382" s="16"/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  <c r="DO382" s="17"/>
      <c r="DP382" s="17"/>
      <c r="DQ382" s="17"/>
      <c r="DR382" s="17"/>
      <c r="DS382" s="17"/>
      <c r="DT382" s="17"/>
      <c r="DU382" s="17"/>
      <c r="DV382" s="17"/>
      <c r="DW382" s="17"/>
    </row>
    <row r="383" spans="1:127" ht="18" customHeight="1">
      <c r="A383" s="16"/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  <c r="DO383" s="17"/>
      <c r="DP383" s="17"/>
      <c r="DQ383" s="17"/>
      <c r="DR383" s="17"/>
      <c r="DS383" s="17"/>
      <c r="DT383" s="17"/>
      <c r="DU383" s="17"/>
      <c r="DV383" s="17"/>
      <c r="DW383" s="17"/>
    </row>
    <row r="384" spans="1:127" ht="18" customHeight="1">
      <c r="A384" s="16"/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  <c r="DO384" s="17"/>
      <c r="DP384" s="17"/>
      <c r="DQ384" s="17"/>
      <c r="DR384" s="17"/>
      <c r="DS384" s="17"/>
      <c r="DT384" s="17"/>
      <c r="DU384" s="17"/>
      <c r="DV384" s="17"/>
      <c r="DW384" s="17"/>
    </row>
    <row r="385" spans="1:127" ht="18" customHeight="1">
      <c r="A385" s="16"/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  <c r="DO385" s="17"/>
      <c r="DP385" s="17"/>
      <c r="DQ385" s="17"/>
      <c r="DR385" s="17"/>
      <c r="DS385" s="17"/>
      <c r="DT385" s="17"/>
      <c r="DU385" s="17"/>
      <c r="DV385" s="17"/>
      <c r="DW385" s="17"/>
    </row>
    <row r="386" spans="1:127" ht="18" customHeight="1">
      <c r="A386" s="16"/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  <c r="DO386" s="17"/>
      <c r="DP386" s="17"/>
      <c r="DQ386" s="17"/>
      <c r="DR386" s="17"/>
      <c r="DS386" s="17"/>
      <c r="DT386" s="17"/>
      <c r="DU386" s="17"/>
      <c r="DV386" s="17"/>
      <c r="DW386" s="17"/>
    </row>
    <row r="387" spans="1:127" ht="18" customHeight="1">
      <c r="A387" s="16"/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  <c r="DO387" s="17"/>
      <c r="DP387" s="17"/>
      <c r="DQ387" s="17"/>
      <c r="DR387" s="17"/>
      <c r="DS387" s="17"/>
      <c r="DT387" s="17"/>
      <c r="DU387" s="17"/>
      <c r="DV387" s="17"/>
      <c r="DW387" s="17"/>
    </row>
    <row r="388" spans="1:127" ht="18" customHeight="1">
      <c r="A388" s="16"/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  <c r="DO388" s="17"/>
      <c r="DP388" s="17"/>
      <c r="DQ388" s="17"/>
      <c r="DR388" s="17"/>
      <c r="DS388" s="17"/>
      <c r="DT388" s="17"/>
      <c r="DU388" s="17"/>
      <c r="DV388" s="17"/>
      <c r="DW388" s="17"/>
    </row>
    <row r="389" spans="1:127" ht="18" customHeight="1">
      <c r="A389" s="16"/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  <c r="DO389" s="17"/>
      <c r="DP389" s="17"/>
      <c r="DQ389" s="17"/>
      <c r="DR389" s="17"/>
      <c r="DS389" s="17"/>
      <c r="DT389" s="17"/>
      <c r="DU389" s="17"/>
      <c r="DV389" s="17"/>
      <c r="DW389" s="17"/>
    </row>
    <row r="390" spans="1:127" ht="18" customHeight="1">
      <c r="A390" s="16"/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  <c r="DO390" s="17"/>
      <c r="DP390" s="17"/>
      <c r="DQ390" s="17"/>
      <c r="DR390" s="17"/>
      <c r="DS390" s="17"/>
      <c r="DT390" s="17"/>
      <c r="DU390" s="17"/>
      <c r="DV390" s="17"/>
      <c r="DW390" s="17"/>
    </row>
    <row r="391" spans="1:127" ht="18" customHeight="1">
      <c r="A391" s="16"/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  <c r="DO391" s="17"/>
      <c r="DP391" s="17"/>
      <c r="DQ391" s="17"/>
      <c r="DR391" s="17"/>
      <c r="DS391" s="17"/>
      <c r="DT391" s="17"/>
      <c r="DU391" s="17"/>
      <c r="DV391" s="17"/>
      <c r="DW391" s="17"/>
    </row>
    <row r="392" spans="1:127" ht="18" customHeight="1">
      <c r="A392" s="16"/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</row>
    <row r="393" spans="1:127" ht="18" customHeight="1">
      <c r="A393" s="16"/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  <c r="DO393" s="17"/>
      <c r="DP393" s="17"/>
      <c r="DQ393" s="17"/>
      <c r="DR393" s="17"/>
      <c r="DS393" s="17"/>
      <c r="DT393" s="17"/>
      <c r="DU393" s="17"/>
      <c r="DV393" s="17"/>
      <c r="DW393" s="17"/>
    </row>
    <row r="394" spans="1:127" ht="18" customHeight="1">
      <c r="A394" s="16"/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  <c r="CW394" s="17"/>
      <c r="CX394" s="17"/>
      <c r="CY394" s="17"/>
      <c r="CZ394" s="17"/>
      <c r="DA394" s="17"/>
      <c r="DB394" s="17"/>
      <c r="DC394" s="17"/>
      <c r="DD394" s="17"/>
      <c r="DE394" s="17"/>
      <c r="DF394" s="17"/>
      <c r="DG394" s="17"/>
      <c r="DH394" s="17"/>
      <c r="DI394" s="17"/>
      <c r="DJ394" s="17"/>
      <c r="DK394" s="17"/>
      <c r="DL394" s="17"/>
      <c r="DM394" s="17"/>
      <c r="DN394" s="17"/>
      <c r="DO394" s="17"/>
      <c r="DP394" s="17"/>
      <c r="DQ394" s="17"/>
      <c r="DR394" s="17"/>
      <c r="DS394" s="17"/>
      <c r="DT394" s="17"/>
      <c r="DU394" s="17"/>
      <c r="DV394" s="17"/>
      <c r="DW394" s="17"/>
    </row>
    <row r="395" spans="1:127" ht="18" customHeight="1">
      <c r="A395" s="16"/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  <c r="DO395" s="17"/>
      <c r="DP395" s="17"/>
      <c r="DQ395" s="17"/>
      <c r="DR395" s="17"/>
      <c r="DS395" s="17"/>
      <c r="DT395" s="17"/>
      <c r="DU395" s="17"/>
      <c r="DV395" s="17"/>
      <c r="DW395" s="17"/>
    </row>
    <row r="396" spans="1:127" ht="18" customHeight="1">
      <c r="A396" s="16"/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  <c r="DO396" s="17"/>
      <c r="DP396" s="17"/>
      <c r="DQ396" s="17"/>
      <c r="DR396" s="17"/>
      <c r="DS396" s="17"/>
      <c r="DT396" s="17"/>
      <c r="DU396" s="17"/>
      <c r="DV396" s="17"/>
      <c r="DW396" s="17"/>
    </row>
    <row r="397" spans="1:127" ht="18" customHeight="1">
      <c r="A397" s="16"/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  <c r="DO397" s="17"/>
      <c r="DP397" s="17"/>
      <c r="DQ397" s="17"/>
      <c r="DR397" s="17"/>
      <c r="DS397" s="17"/>
      <c r="DT397" s="17"/>
      <c r="DU397" s="17"/>
      <c r="DV397" s="17"/>
      <c r="DW397" s="17"/>
    </row>
    <row r="398" spans="1:127" ht="18" customHeight="1">
      <c r="A398" s="16"/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  <c r="DO398" s="17"/>
      <c r="DP398" s="17"/>
      <c r="DQ398" s="17"/>
      <c r="DR398" s="17"/>
      <c r="DS398" s="17"/>
      <c r="DT398" s="17"/>
      <c r="DU398" s="17"/>
      <c r="DV398" s="17"/>
      <c r="DW398" s="17"/>
    </row>
    <row r="399" spans="1:127" ht="18" customHeight="1">
      <c r="A399" s="16"/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  <c r="DO399" s="17"/>
      <c r="DP399" s="17"/>
      <c r="DQ399" s="17"/>
      <c r="DR399" s="17"/>
      <c r="DS399" s="17"/>
      <c r="DT399" s="17"/>
      <c r="DU399" s="17"/>
      <c r="DV399" s="17"/>
      <c r="DW399" s="17"/>
    </row>
    <row r="400" spans="1:127" ht="18" customHeight="1">
      <c r="A400" s="16"/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  <c r="DO400" s="17"/>
      <c r="DP400" s="17"/>
      <c r="DQ400" s="17"/>
      <c r="DR400" s="17"/>
      <c r="DS400" s="17"/>
      <c r="DT400" s="17"/>
      <c r="DU400" s="17"/>
      <c r="DV400" s="17"/>
      <c r="DW400" s="17"/>
    </row>
    <row r="401" spans="1:127" ht="18" customHeight="1">
      <c r="A401" s="16"/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  <c r="DO401" s="17"/>
      <c r="DP401" s="17"/>
      <c r="DQ401" s="17"/>
      <c r="DR401" s="17"/>
      <c r="DS401" s="17"/>
      <c r="DT401" s="17"/>
      <c r="DU401" s="17"/>
      <c r="DV401" s="17"/>
      <c r="DW401" s="17"/>
    </row>
    <row r="402" spans="1:127" ht="18" customHeight="1">
      <c r="A402" s="16"/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  <c r="DO402" s="17"/>
      <c r="DP402" s="17"/>
      <c r="DQ402" s="17"/>
      <c r="DR402" s="17"/>
      <c r="DS402" s="17"/>
      <c r="DT402" s="17"/>
      <c r="DU402" s="17"/>
      <c r="DV402" s="17"/>
      <c r="DW402" s="17"/>
    </row>
    <row r="403" spans="1:127" ht="18" customHeight="1">
      <c r="A403" s="16"/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  <c r="DO403" s="17"/>
      <c r="DP403" s="17"/>
      <c r="DQ403" s="17"/>
      <c r="DR403" s="17"/>
      <c r="DS403" s="17"/>
      <c r="DT403" s="17"/>
      <c r="DU403" s="17"/>
      <c r="DV403" s="17"/>
      <c r="DW403" s="17"/>
    </row>
    <row r="404" spans="1:127" ht="18" customHeight="1">
      <c r="A404" s="16"/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  <c r="DO404" s="17"/>
      <c r="DP404" s="17"/>
      <c r="DQ404" s="17"/>
      <c r="DR404" s="17"/>
      <c r="DS404" s="17"/>
      <c r="DT404" s="17"/>
      <c r="DU404" s="17"/>
      <c r="DV404" s="17"/>
      <c r="DW404" s="17"/>
    </row>
    <row r="405" spans="1:127" ht="18" customHeight="1">
      <c r="A405" s="16"/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  <c r="DO405" s="17"/>
      <c r="DP405" s="17"/>
      <c r="DQ405" s="17"/>
      <c r="DR405" s="17"/>
      <c r="DS405" s="17"/>
      <c r="DT405" s="17"/>
      <c r="DU405" s="17"/>
      <c r="DV405" s="17"/>
      <c r="DW405" s="17"/>
    </row>
    <row r="406" spans="1:127" ht="18" customHeight="1">
      <c r="A406" s="16"/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  <c r="DO406" s="17"/>
      <c r="DP406" s="17"/>
      <c r="DQ406" s="17"/>
      <c r="DR406" s="17"/>
      <c r="DS406" s="17"/>
      <c r="DT406" s="17"/>
      <c r="DU406" s="17"/>
      <c r="DV406" s="17"/>
      <c r="DW406" s="17"/>
    </row>
    <row r="407" spans="1:127" ht="18" customHeight="1">
      <c r="A407" s="16"/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  <c r="CR407" s="17"/>
      <c r="CS407" s="17"/>
      <c r="CT407" s="17"/>
      <c r="CU407" s="17"/>
      <c r="CV407" s="17"/>
      <c r="CW407" s="17"/>
      <c r="CX407" s="17"/>
      <c r="CY407" s="17"/>
      <c r="CZ407" s="17"/>
      <c r="DA407" s="17"/>
      <c r="DB407" s="17"/>
      <c r="DC407" s="17"/>
      <c r="DD407" s="17"/>
      <c r="DE407" s="17"/>
      <c r="DF407" s="17"/>
      <c r="DG407" s="17"/>
      <c r="DH407" s="17"/>
      <c r="DI407" s="17"/>
      <c r="DJ407" s="17"/>
      <c r="DK407" s="17"/>
      <c r="DL407" s="17"/>
      <c r="DM407" s="17"/>
      <c r="DN407" s="17"/>
      <c r="DO407" s="17"/>
      <c r="DP407" s="17"/>
      <c r="DQ407" s="17"/>
      <c r="DR407" s="17"/>
      <c r="DS407" s="17"/>
      <c r="DT407" s="17"/>
      <c r="DU407" s="17"/>
      <c r="DV407" s="17"/>
      <c r="DW407" s="17"/>
    </row>
    <row r="408" spans="1:127" ht="18" customHeight="1">
      <c r="A408" s="16"/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  <c r="DO408" s="17"/>
      <c r="DP408" s="17"/>
      <c r="DQ408" s="17"/>
      <c r="DR408" s="17"/>
      <c r="DS408" s="17"/>
      <c r="DT408" s="17"/>
      <c r="DU408" s="17"/>
      <c r="DV408" s="17"/>
      <c r="DW408" s="17"/>
    </row>
    <row r="409" spans="1:127" ht="18" customHeight="1">
      <c r="A409" s="16"/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  <c r="DO409" s="17"/>
      <c r="DP409" s="17"/>
      <c r="DQ409" s="17"/>
      <c r="DR409" s="17"/>
      <c r="DS409" s="17"/>
      <c r="DT409" s="17"/>
      <c r="DU409" s="17"/>
      <c r="DV409" s="17"/>
      <c r="DW409" s="17"/>
    </row>
    <row r="410" spans="1:127" ht="18" customHeight="1">
      <c r="A410" s="16"/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  <c r="DO410" s="17"/>
      <c r="DP410" s="17"/>
      <c r="DQ410" s="17"/>
      <c r="DR410" s="17"/>
      <c r="DS410" s="17"/>
      <c r="DT410" s="17"/>
      <c r="DU410" s="17"/>
      <c r="DV410" s="17"/>
      <c r="DW410" s="17"/>
    </row>
    <row r="411" spans="1:127" ht="18" customHeight="1">
      <c r="A411" s="16"/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  <c r="DO411" s="17"/>
      <c r="DP411" s="17"/>
      <c r="DQ411" s="17"/>
      <c r="DR411" s="17"/>
      <c r="DS411" s="17"/>
      <c r="DT411" s="17"/>
      <c r="DU411" s="17"/>
      <c r="DV411" s="17"/>
      <c r="DW411" s="17"/>
    </row>
    <row r="412" spans="1:127" ht="18" customHeight="1">
      <c r="A412" s="16"/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  <c r="DO412" s="17"/>
      <c r="DP412" s="17"/>
      <c r="DQ412" s="17"/>
      <c r="DR412" s="17"/>
      <c r="DS412" s="17"/>
      <c r="DT412" s="17"/>
      <c r="DU412" s="17"/>
      <c r="DV412" s="17"/>
      <c r="DW412" s="17"/>
    </row>
    <row r="413" spans="1:127" ht="18" customHeight="1">
      <c r="A413" s="16"/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  <c r="DO413" s="17"/>
      <c r="DP413" s="17"/>
      <c r="DQ413" s="17"/>
      <c r="DR413" s="17"/>
      <c r="DS413" s="17"/>
      <c r="DT413" s="17"/>
      <c r="DU413" s="17"/>
      <c r="DV413" s="17"/>
      <c r="DW413" s="17"/>
    </row>
    <row r="414" spans="1:127" ht="18" customHeight="1">
      <c r="A414" s="16"/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  <c r="CR414" s="17"/>
      <c r="CS414" s="17"/>
      <c r="CT414" s="17"/>
      <c r="CU414" s="17"/>
      <c r="CV414" s="17"/>
      <c r="CW414" s="17"/>
      <c r="CX414" s="17"/>
      <c r="CY414" s="17"/>
      <c r="CZ414" s="17"/>
      <c r="DA414" s="17"/>
      <c r="DB414" s="17"/>
      <c r="DC414" s="17"/>
      <c r="DD414" s="17"/>
      <c r="DE414" s="17"/>
      <c r="DF414" s="17"/>
      <c r="DG414" s="17"/>
      <c r="DH414" s="17"/>
      <c r="DI414" s="17"/>
      <c r="DJ414" s="17"/>
      <c r="DK414" s="17"/>
      <c r="DL414" s="17"/>
      <c r="DM414" s="17"/>
      <c r="DN414" s="17"/>
      <c r="DO414" s="17"/>
      <c r="DP414" s="17"/>
      <c r="DQ414" s="17"/>
      <c r="DR414" s="17"/>
      <c r="DS414" s="17"/>
      <c r="DT414" s="17"/>
      <c r="DU414" s="17"/>
      <c r="DV414" s="17"/>
      <c r="DW414" s="17"/>
    </row>
    <row r="415" spans="1:127" ht="18" customHeight="1">
      <c r="A415" s="16"/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  <c r="DO415" s="17"/>
      <c r="DP415" s="17"/>
      <c r="DQ415" s="17"/>
      <c r="DR415" s="17"/>
      <c r="DS415" s="17"/>
      <c r="DT415" s="17"/>
      <c r="DU415" s="17"/>
      <c r="DV415" s="17"/>
      <c r="DW415" s="17"/>
    </row>
    <row r="416" spans="1:127" ht="18" customHeight="1">
      <c r="A416" s="16"/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  <c r="DO416" s="17"/>
      <c r="DP416" s="17"/>
      <c r="DQ416" s="17"/>
      <c r="DR416" s="17"/>
      <c r="DS416" s="17"/>
      <c r="DT416" s="17"/>
      <c r="DU416" s="17"/>
      <c r="DV416" s="17"/>
      <c r="DW416" s="17"/>
    </row>
    <row r="417" spans="1:127" ht="18" customHeight="1">
      <c r="A417" s="16"/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  <c r="DO417" s="17"/>
      <c r="DP417" s="17"/>
      <c r="DQ417" s="17"/>
      <c r="DR417" s="17"/>
      <c r="DS417" s="17"/>
      <c r="DT417" s="17"/>
      <c r="DU417" s="17"/>
      <c r="DV417" s="17"/>
      <c r="DW417" s="17"/>
    </row>
    <row r="418" spans="1:127" ht="18" customHeight="1">
      <c r="A418" s="16"/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  <c r="CR418" s="17"/>
      <c r="CS418" s="17"/>
      <c r="CT418" s="17"/>
      <c r="CU418" s="17"/>
      <c r="CV418" s="17"/>
      <c r="CW418" s="17"/>
      <c r="CX418" s="17"/>
      <c r="CY418" s="17"/>
      <c r="CZ418" s="17"/>
      <c r="DA418" s="17"/>
      <c r="DB418" s="17"/>
      <c r="DC418" s="17"/>
      <c r="DD418" s="17"/>
      <c r="DE418" s="17"/>
      <c r="DF418" s="17"/>
      <c r="DG418" s="17"/>
      <c r="DH418" s="17"/>
      <c r="DI418" s="17"/>
      <c r="DJ418" s="17"/>
      <c r="DK418" s="17"/>
      <c r="DL418" s="17"/>
      <c r="DM418" s="17"/>
      <c r="DN418" s="17"/>
      <c r="DO418" s="17"/>
      <c r="DP418" s="17"/>
      <c r="DQ418" s="17"/>
      <c r="DR418" s="17"/>
      <c r="DS418" s="17"/>
      <c r="DT418" s="17"/>
      <c r="DU418" s="17"/>
      <c r="DV418" s="17"/>
      <c r="DW418" s="17"/>
    </row>
    <row r="419" spans="1:127" ht="18" customHeight="1">
      <c r="A419" s="16"/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  <c r="DO419" s="17"/>
      <c r="DP419" s="17"/>
      <c r="DQ419" s="17"/>
      <c r="DR419" s="17"/>
      <c r="DS419" s="17"/>
      <c r="DT419" s="17"/>
      <c r="DU419" s="17"/>
      <c r="DV419" s="17"/>
      <c r="DW419" s="17"/>
    </row>
    <row r="420" spans="1:127" ht="18" customHeight="1">
      <c r="A420" s="16"/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  <c r="DO420" s="17"/>
      <c r="DP420" s="17"/>
      <c r="DQ420" s="17"/>
      <c r="DR420" s="17"/>
      <c r="DS420" s="17"/>
      <c r="DT420" s="17"/>
      <c r="DU420" s="17"/>
      <c r="DV420" s="17"/>
      <c r="DW420" s="17"/>
    </row>
    <row r="421" spans="1:127" ht="18" customHeight="1">
      <c r="A421" s="16"/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  <c r="DO421" s="17"/>
      <c r="DP421" s="17"/>
      <c r="DQ421" s="17"/>
      <c r="DR421" s="17"/>
      <c r="DS421" s="17"/>
      <c r="DT421" s="17"/>
      <c r="DU421" s="17"/>
      <c r="DV421" s="17"/>
      <c r="DW421" s="17"/>
    </row>
    <row r="422" spans="1:127" ht="18" customHeight="1">
      <c r="A422" s="16"/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</row>
    <row r="423" spans="1:127" ht="18" customHeight="1">
      <c r="A423" s="16"/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  <c r="DO423" s="17"/>
      <c r="DP423" s="17"/>
      <c r="DQ423" s="17"/>
      <c r="DR423" s="17"/>
      <c r="DS423" s="17"/>
      <c r="DT423" s="17"/>
      <c r="DU423" s="17"/>
      <c r="DV423" s="17"/>
      <c r="DW423" s="17"/>
    </row>
    <row r="424" spans="1:127" ht="18" customHeight="1">
      <c r="A424" s="16"/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  <c r="DO424" s="17"/>
      <c r="DP424" s="17"/>
      <c r="DQ424" s="17"/>
      <c r="DR424" s="17"/>
      <c r="DS424" s="17"/>
      <c r="DT424" s="17"/>
      <c r="DU424" s="17"/>
      <c r="DV424" s="17"/>
      <c r="DW424" s="17"/>
    </row>
    <row r="425" spans="1:127" ht="18" customHeight="1">
      <c r="A425" s="16"/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  <c r="DO425" s="17"/>
      <c r="DP425" s="17"/>
      <c r="DQ425" s="17"/>
      <c r="DR425" s="17"/>
      <c r="DS425" s="17"/>
      <c r="DT425" s="17"/>
      <c r="DU425" s="17"/>
      <c r="DV425" s="17"/>
      <c r="DW425" s="17"/>
    </row>
    <row r="426" spans="1:127" ht="18" customHeight="1">
      <c r="A426" s="16"/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  <c r="DO426" s="17"/>
      <c r="DP426" s="17"/>
      <c r="DQ426" s="17"/>
      <c r="DR426" s="17"/>
      <c r="DS426" s="17"/>
      <c r="DT426" s="17"/>
      <c r="DU426" s="17"/>
      <c r="DV426" s="17"/>
      <c r="DW426" s="17"/>
    </row>
    <row r="427" spans="1:127" ht="18" customHeight="1">
      <c r="A427" s="16"/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  <c r="DO427" s="17"/>
      <c r="DP427" s="17"/>
      <c r="DQ427" s="17"/>
      <c r="DR427" s="17"/>
      <c r="DS427" s="17"/>
      <c r="DT427" s="17"/>
      <c r="DU427" s="17"/>
      <c r="DV427" s="17"/>
      <c r="DW427" s="17"/>
    </row>
    <row r="428" spans="1:127" ht="18" customHeight="1">
      <c r="A428" s="16"/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  <c r="DO428" s="17"/>
      <c r="DP428" s="17"/>
      <c r="DQ428" s="17"/>
      <c r="DR428" s="17"/>
      <c r="DS428" s="17"/>
      <c r="DT428" s="17"/>
      <c r="DU428" s="17"/>
      <c r="DV428" s="17"/>
      <c r="DW428" s="17"/>
    </row>
    <row r="429" spans="1:127" ht="18" customHeight="1">
      <c r="A429" s="16"/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  <c r="DO429" s="17"/>
      <c r="DP429" s="17"/>
      <c r="DQ429" s="17"/>
      <c r="DR429" s="17"/>
      <c r="DS429" s="17"/>
      <c r="DT429" s="17"/>
      <c r="DU429" s="17"/>
      <c r="DV429" s="17"/>
      <c r="DW429" s="17"/>
    </row>
    <row r="430" spans="1:127" ht="18" customHeight="1">
      <c r="A430" s="16"/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  <c r="DO430" s="17"/>
      <c r="DP430" s="17"/>
      <c r="DQ430" s="17"/>
      <c r="DR430" s="17"/>
      <c r="DS430" s="17"/>
      <c r="DT430" s="17"/>
      <c r="DU430" s="17"/>
      <c r="DV430" s="17"/>
      <c r="DW430" s="17"/>
    </row>
    <row r="431" spans="1:127" ht="18" customHeight="1">
      <c r="A431" s="16"/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  <c r="DO431" s="17"/>
      <c r="DP431" s="17"/>
      <c r="DQ431" s="17"/>
      <c r="DR431" s="17"/>
      <c r="DS431" s="17"/>
      <c r="DT431" s="17"/>
      <c r="DU431" s="17"/>
      <c r="DV431" s="17"/>
      <c r="DW431" s="17"/>
    </row>
    <row r="432" spans="1:127" ht="18" customHeight="1">
      <c r="A432" s="16"/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  <c r="DO432" s="17"/>
      <c r="DP432" s="17"/>
      <c r="DQ432" s="17"/>
      <c r="DR432" s="17"/>
      <c r="DS432" s="17"/>
      <c r="DT432" s="17"/>
      <c r="DU432" s="17"/>
      <c r="DV432" s="17"/>
      <c r="DW432" s="17"/>
    </row>
    <row r="433" spans="1:127" ht="18" customHeight="1">
      <c r="A433" s="16"/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  <c r="DO433" s="17"/>
      <c r="DP433" s="17"/>
      <c r="DQ433" s="17"/>
      <c r="DR433" s="17"/>
      <c r="DS433" s="17"/>
      <c r="DT433" s="17"/>
      <c r="DU433" s="17"/>
      <c r="DV433" s="17"/>
      <c r="DW433" s="17"/>
    </row>
    <row r="434" spans="1:127" ht="18" customHeight="1">
      <c r="A434" s="16"/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  <c r="DO434" s="17"/>
      <c r="DP434" s="17"/>
      <c r="DQ434" s="17"/>
      <c r="DR434" s="17"/>
      <c r="DS434" s="17"/>
      <c r="DT434" s="17"/>
      <c r="DU434" s="17"/>
      <c r="DV434" s="17"/>
      <c r="DW434" s="17"/>
    </row>
    <row r="435" spans="1:127" ht="18" customHeight="1">
      <c r="A435" s="16"/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  <c r="DO435" s="17"/>
      <c r="DP435" s="17"/>
      <c r="DQ435" s="17"/>
      <c r="DR435" s="17"/>
      <c r="DS435" s="17"/>
      <c r="DT435" s="17"/>
      <c r="DU435" s="17"/>
      <c r="DV435" s="17"/>
      <c r="DW435" s="17"/>
    </row>
    <row r="436" spans="1:127" ht="18" customHeight="1">
      <c r="A436" s="16"/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  <c r="DO436" s="17"/>
      <c r="DP436" s="17"/>
      <c r="DQ436" s="17"/>
      <c r="DR436" s="17"/>
      <c r="DS436" s="17"/>
      <c r="DT436" s="17"/>
      <c r="DU436" s="17"/>
      <c r="DV436" s="17"/>
      <c r="DW436" s="17"/>
    </row>
    <row r="437" spans="1:127" ht="18" customHeight="1">
      <c r="A437" s="16"/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  <c r="DO437" s="17"/>
      <c r="DP437" s="17"/>
      <c r="DQ437" s="17"/>
      <c r="DR437" s="17"/>
      <c r="DS437" s="17"/>
      <c r="DT437" s="17"/>
      <c r="DU437" s="17"/>
      <c r="DV437" s="17"/>
      <c r="DW437" s="17"/>
    </row>
    <row r="438" spans="1:127" ht="18" customHeight="1">
      <c r="A438" s="16"/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  <c r="DO438" s="17"/>
      <c r="DP438" s="17"/>
      <c r="DQ438" s="17"/>
      <c r="DR438" s="17"/>
      <c r="DS438" s="17"/>
      <c r="DT438" s="17"/>
      <c r="DU438" s="17"/>
      <c r="DV438" s="17"/>
      <c r="DW438" s="17"/>
    </row>
    <row r="439" spans="1:127" ht="18" customHeight="1">
      <c r="A439" s="16"/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  <c r="DO439" s="17"/>
      <c r="DP439" s="17"/>
      <c r="DQ439" s="17"/>
      <c r="DR439" s="17"/>
      <c r="DS439" s="17"/>
      <c r="DT439" s="17"/>
      <c r="DU439" s="17"/>
      <c r="DV439" s="17"/>
      <c r="DW439" s="17"/>
    </row>
    <row r="440" spans="1:127" ht="18" customHeight="1">
      <c r="A440" s="16"/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  <c r="DO440" s="17"/>
      <c r="DP440" s="17"/>
      <c r="DQ440" s="17"/>
      <c r="DR440" s="17"/>
      <c r="DS440" s="17"/>
      <c r="DT440" s="17"/>
      <c r="DU440" s="17"/>
      <c r="DV440" s="17"/>
      <c r="DW440" s="17"/>
    </row>
    <row r="441" spans="1:127" ht="18" customHeight="1">
      <c r="A441" s="16"/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  <c r="DO441" s="17"/>
      <c r="DP441" s="17"/>
      <c r="DQ441" s="17"/>
      <c r="DR441" s="17"/>
      <c r="DS441" s="17"/>
      <c r="DT441" s="17"/>
      <c r="DU441" s="17"/>
      <c r="DV441" s="17"/>
      <c r="DW441" s="17"/>
    </row>
    <row r="442" spans="1:127" ht="18" customHeight="1">
      <c r="A442" s="16"/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  <c r="DO442" s="17"/>
      <c r="DP442" s="17"/>
      <c r="DQ442" s="17"/>
      <c r="DR442" s="17"/>
      <c r="DS442" s="17"/>
      <c r="DT442" s="17"/>
      <c r="DU442" s="17"/>
      <c r="DV442" s="17"/>
      <c r="DW442" s="17"/>
    </row>
    <row r="443" spans="1:127" ht="18" customHeight="1">
      <c r="A443" s="16"/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  <c r="DO443" s="17"/>
      <c r="DP443" s="17"/>
      <c r="DQ443" s="17"/>
      <c r="DR443" s="17"/>
      <c r="DS443" s="17"/>
      <c r="DT443" s="17"/>
      <c r="DU443" s="17"/>
      <c r="DV443" s="17"/>
      <c r="DW443" s="17"/>
    </row>
    <row r="444" spans="1:127" ht="18" customHeight="1">
      <c r="A444" s="16"/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  <c r="DO444" s="17"/>
      <c r="DP444" s="17"/>
      <c r="DQ444" s="17"/>
      <c r="DR444" s="17"/>
      <c r="DS444" s="17"/>
      <c r="DT444" s="17"/>
      <c r="DU444" s="17"/>
      <c r="DV444" s="17"/>
      <c r="DW444" s="17"/>
    </row>
    <row r="445" spans="1:127" ht="18" customHeight="1">
      <c r="A445" s="16"/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  <c r="DO445" s="17"/>
      <c r="DP445" s="17"/>
      <c r="DQ445" s="17"/>
      <c r="DR445" s="17"/>
      <c r="DS445" s="17"/>
      <c r="DT445" s="17"/>
      <c r="DU445" s="17"/>
      <c r="DV445" s="17"/>
      <c r="DW445" s="17"/>
    </row>
    <row r="446" spans="1:127" ht="18" customHeight="1">
      <c r="A446" s="16"/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  <c r="DO446" s="17"/>
      <c r="DP446" s="17"/>
      <c r="DQ446" s="17"/>
      <c r="DR446" s="17"/>
      <c r="DS446" s="17"/>
      <c r="DT446" s="17"/>
      <c r="DU446" s="17"/>
      <c r="DV446" s="17"/>
      <c r="DW446" s="17"/>
    </row>
    <row r="447" spans="1:127" ht="18" customHeight="1">
      <c r="A447" s="16"/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  <c r="DO447" s="17"/>
      <c r="DP447" s="17"/>
      <c r="DQ447" s="17"/>
      <c r="DR447" s="17"/>
      <c r="DS447" s="17"/>
      <c r="DT447" s="17"/>
      <c r="DU447" s="17"/>
      <c r="DV447" s="17"/>
      <c r="DW447" s="17"/>
    </row>
    <row r="448" spans="1:127" ht="18" customHeight="1">
      <c r="A448" s="16"/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  <c r="DO448" s="17"/>
      <c r="DP448" s="17"/>
      <c r="DQ448" s="17"/>
      <c r="DR448" s="17"/>
      <c r="DS448" s="17"/>
      <c r="DT448" s="17"/>
      <c r="DU448" s="17"/>
      <c r="DV448" s="17"/>
      <c r="DW448" s="17"/>
    </row>
    <row r="449" spans="1:127" ht="18" customHeight="1">
      <c r="A449" s="16"/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  <c r="DO449" s="17"/>
      <c r="DP449" s="17"/>
      <c r="DQ449" s="17"/>
      <c r="DR449" s="17"/>
      <c r="DS449" s="17"/>
      <c r="DT449" s="17"/>
      <c r="DU449" s="17"/>
      <c r="DV449" s="17"/>
      <c r="DW449" s="17"/>
    </row>
    <row r="450" spans="1:127" ht="18" customHeight="1">
      <c r="A450" s="16"/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  <c r="DO450" s="17"/>
      <c r="DP450" s="17"/>
      <c r="DQ450" s="17"/>
      <c r="DR450" s="17"/>
      <c r="DS450" s="17"/>
      <c r="DT450" s="17"/>
      <c r="DU450" s="17"/>
      <c r="DV450" s="17"/>
      <c r="DW450" s="17"/>
    </row>
    <row r="451" spans="1:127" ht="18" customHeight="1">
      <c r="A451" s="16"/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  <c r="DO451" s="17"/>
      <c r="DP451" s="17"/>
      <c r="DQ451" s="17"/>
      <c r="DR451" s="17"/>
      <c r="DS451" s="17"/>
      <c r="DT451" s="17"/>
      <c r="DU451" s="17"/>
      <c r="DV451" s="17"/>
      <c r="DW451" s="17"/>
    </row>
    <row r="452" spans="1:127" ht="18" customHeight="1">
      <c r="A452" s="16"/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  <c r="DO452" s="17"/>
      <c r="DP452" s="17"/>
      <c r="DQ452" s="17"/>
      <c r="DR452" s="17"/>
      <c r="DS452" s="17"/>
      <c r="DT452" s="17"/>
      <c r="DU452" s="17"/>
      <c r="DV452" s="17"/>
      <c r="DW452" s="17"/>
    </row>
    <row r="453" spans="1:127" ht="18" customHeight="1">
      <c r="A453" s="16"/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</row>
    <row r="454" spans="1:127" ht="18" customHeight="1">
      <c r="A454" s="16"/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  <c r="DO454" s="17"/>
      <c r="DP454" s="17"/>
      <c r="DQ454" s="17"/>
      <c r="DR454" s="17"/>
      <c r="DS454" s="17"/>
      <c r="DT454" s="17"/>
      <c r="DU454" s="17"/>
      <c r="DV454" s="17"/>
      <c r="DW454" s="17"/>
    </row>
    <row r="455" spans="1:127" ht="18" customHeight="1">
      <c r="A455" s="16"/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  <c r="DO455" s="17"/>
      <c r="DP455" s="17"/>
      <c r="DQ455" s="17"/>
      <c r="DR455" s="17"/>
      <c r="DS455" s="17"/>
      <c r="DT455" s="17"/>
      <c r="DU455" s="17"/>
      <c r="DV455" s="17"/>
      <c r="DW455" s="17"/>
    </row>
    <row r="456" spans="1:127" ht="18" customHeight="1">
      <c r="A456" s="16"/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  <c r="DO456" s="17"/>
      <c r="DP456" s="17"/>
      <c r="DQ456" s="17"/>
      <c r="DR456" s="17"/>
      <c r="DS456" s="17"/>
      <c r="DT456" s="17"/>
      <c r="DU456" s="17"/>
      <c r="DV456" s="17"/>
      <c r="DW456" s="17"/>
    </row>
    <row r="457" spans="1:127" ht="18" customHeight="1">
      <c r="A457" s="16"/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  <c r="DO457" s="17"/>
      <c r="DP457" s="17"/>
      <c r="DQ457" s="17"/>
      <c r="DR457" s="17"/>
      <c r="DS457" s="17"/>
      <c r="DT457" s="17"/>
      <c r="DU457" s="17"/>
      <c r="DV457" s="17"/>
      <c r="DW457" s="17"/>
    </row>
    <row r="458" spans="1:127" ht="18" customHeight="1">
      <c r="A458" s="16"/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  <c r="DO458" s="17"/>
      <c r="DP458" s="17"/>
      <c r="DQ458" s="17"/>
      <c r="DR458" s="17"/>
      <c r="DS458" s="17"/>
      <c r="DT458" s="17"/>
      <c r="DU458" s="17"/>
      <c r="DV458" s="17"/>
      <c r="DW458" s="17"/>
    </row>
    <row r="459" spans="1:127" ht="18" customHeight="1">
      <c r="A459" s="16"/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  <c r="DO459" s="17"/>
      <c r="DP459" s="17"/>
      <c r="DQ459" s="17"/>
      <c r="DR459" s="17"/>
      <c r="DS459" s="17"/>
      <c r="DT459" s="17"/>
      <c r="DU459" s="17"/>
      <c r="DV459" s="17"/>
      <c r="DW459" s="17"/>
    </row>
    <row r="460" spans="1:127" ht="18" customHeight="1">
      <c r="A460" s="16"/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  <c r="DO460" s="17"/>
      <c r="DP460" s="17"/>
      <c r="DQ460" s="17"/>
      <c r="DR460" s="17"/>
      <c r="DS460" s="17"/>
      <c r="DT460" s="17"/>
      <c r="DU460" s="17"/>
      <c r="DV460" s="17"/>
      <c r="DW460" s="17"/>
    </row>
    <row r="461" spans="1:127" ht="18" customHeight="1">
      <c r="A461" s="16"/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  <c r="DO461" s="17"/>
      <c r="DP461" s="17"/>
      <c r="DQ461" s="17"/>
      <c r="DR461" s="17"/>
      <c r="DS461" s="17"/>
      <c r="DT461" s="17"/>
      <c r="DU461" s="17"/>
      <c r="DV461" s="17"/>
      <c r="DW461" s="17"/>
    </row>
    <row r="462" spans="1:127" ht="18" customHeight="1">
      <c r="A462" s="16"/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  <c r="DO462" s="17"/>
      <c r="DP462" s="17"/>
      <c r="DQ462" s="17"/>
      <c r="DR462" s="17"/>
      <c r="DS462" s="17"/>
      <c r="DT462" s="17"/>
      <c r="DU462" s="17"/>
      <c r="DV462" s="17"/>
      <c r="DW462" s="17"/>
    </row>
    <row r="463" spans="1:127" ht="18" customHeight="1">
      <c r="A463" s="16"/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  <c r="DO463" s="17"/>
      <c r="DP463" s="17"/>
      <c r="DQ463" s="17"/>
      <c r="DR463" s="17"/>
      <c r="DS463" s="17"/>
      <c r="DT463" s="17"/>
      <c r="DU463" s="17"/>
      <c r="DV463" s="17"/>
      <c r="DW463" s="17"/>
    </row>
    <row r="464" spans="1:127" ht="18" customHeight="1">
      <c r="A464" s="16"/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  <c r="DO464" s="17"/>
      <c r="DP464" s="17"/>
      <c r="DQ464" s="17"/>
      <c r="DR464" s="17"/>
      <c r="DS464" s="17"/>
      <c r="DT464" s="17"/>
      <c r="DU464" s="17"/>
      <c r="DV464" s="17"/>
      <c r="DW464" s="17"/>
    </row>
    <row r="465" spans="1:127" ht="18" customHeight="1">
      <c r="A465" s="16"/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  <c r="DO465" s="17"/>
      <c r="DP465" s="17"/>
      <c r="DQ465" s="17"/>
      <c r="DR465" s="17"/>
      <c r="DS465" s="17"/>
      <c r="DT465" s="17"/>
      <c r="DU465" s="17"/>
      <c r="DV465" s="17"/>
      <c r="DW465" s="17"/>
    </row>
    <row r="466" spans="1:127" ht="18" customHeight="1">
      <c r="A466" s="16"/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  <c r="DO466" s="17"/>
      <c r="DP466" s="17"/>
      <c r="DQ466" s="17"/>
      <c r="DR466" s="17"/>
      <c r="DS466" s="17"/>
      <c r="DT466" s="17"/>
      <c r="DU466" s="17"/>
      <c r="DV466" s="17"/>
      <c r="DW466" s="17"/>
    </row>
    <row r="467" spans="1:127" ht="18" customHeight="1">
      <c r="A467" s="16"/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  <c r="DO467" s="17"/>
      <c r="DP467" s="17"/>
      <c r="DQ467" s="17"/>
      <c r="DR467" s="17"/>
      <c r="DS467" s="17"/>
      <c r="DT467" s="17"/>
      <c r="DU467" s="17"/>
      <c r="DV467" s="17"/>
      <c r="DW467" s="17"/>
    </row>
    <row r="468" spans="1:127" ht="18" customHeight="1">
      <c r="A468" s="16"/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  <c r="DO468" s="17"/>
      <c r="DP468" s="17"/>
      <c r="DQ468" s="17"/>
      <c r="DR468" s="17"/>
      <c r="DS468" s="17"/>
      <c r="DT468" s="17"/>
      <c r="DU468" s="17"/>
      <c r="DV468" s="17"/>
      <c r="DW468" s="17"/>
    </row>
    <row r="469" spans="1:127" ht="18" customHeight="1">
      <c r="A469" s="16"/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  <c r="DO469" s="17"/>
      <c r="DP469" s="17"/>
      <c r="DQ469" s="17"/>
      <c r="DR469" s="17"/>
      <c r="DS469" s="17"/>
      <c r="DT469" s="17"/>
      <c r="DU469" s="17"/>
      <c r="DV469" s="17"/>
      <c r="DW469" s="17"/>
    </row>
    <row r="470" spans="1:127" ht="18" customHeight="1">
      <c r="A470" s="16"/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  <c r="DO470" s="17"/>
      <c r="DP470" s="17"/>
      <c r="DQ470" s="17"/>
      <c r="DR470" s="17"/>
      <c r="DS470" s="17"/>
      <c r="DT470" s="17"/>
      <c r="DU470" s="17"/>
      <c r="DV470" s="17"/>
      <c r="DW470" s="17"/>
    </row>
    <row r="471" spans="1:127" ht="18" customHeight="1">
      <c r="A471" s="16"/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  <c r="DO471" s="17"/>
      <c r="DP471" s="17"/>
      <c r="DQ471" s="17"/>
      <c r="DR471" s="17"/>
      <c r="DS471" s="17"/>
      <c r="DT471" s="17"/>
      <c r="DU471" s="17"/>
      <c r="DV471" s="17"/>
      <c r="DW471" s="17"/>
    </row>
    <row r="472" spans="1:127" ht="18" customHeight="1">
      <c r="A472" s="16"/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  <c r="DO472" s="17"/>
      <c r="DP472" s="17"/>
      <c r="DQ472" s="17"/>
      <c r="DR472" s="17"/>
      <c r="DS472" s="17"/>
      <c r="DT472" s="17"/>
      <c r="DU472" s="17"/>
      <c r="DV472" s="17"/>
      <c r="DW472" s="17"/>
    </row>
    <row r="473" spans="1:127" ht="18" customHeight="1">
      <c r="A473" s="16"/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  <c r="DO473" s="17"/>
      <c r="DP473" s="17"/>
      <c r="DQ473" s="17"/>
      <c r="DR473" s="17"/>
      <c r="DS473" s="17"/>
      <c r="DT473" s="17"/>
      <c r="DU473" s="17"/>
      <c r="DV473" s="17"/>
      <c r="DW473" s="17"/>
    </row>
    <row r="474" spans="1:127" ht="18" customHeight="1">
      <c r="A474" s="16"/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  <c r="DO474" s="17"/>
      <c r="DP474" s="17"/>
      <c r="DQ474" s="17"/>
      <c r="DR474" s="17"/>
      <c r="DS474" s="17"/>
      <c r="DT474" s="17"/>
      <c r="DU474" s="17"/>
      <c r="DV474" s="17"/>
      <c r="DW474" s="17"/>
    </row>
    <row r="475" spans="1:127" ht="18" customHeight="1">
      <c r="A475" s="16"/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  <c r="DO475" s="17"/>
      <c r="DP475" s="17"/>
      <c r="DQ475" s="17"/>
      <c r="DR475" s="17"/>
      <c r="DS475" s="17"/>
      <c r="DT475" s="17"/>
      <c r="DU475" s="17"/>
      <c r="DV475" s="17"/>
      <c r="DW475" s="17"/>
    </row>
    <row r="476" spans="1:127" ht="18" customHeight="1">
      <c r="A476" s="16"/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  <c r="DO476" s="17"/>
      <c r="DP476" s="17"/>
      <c r="DQ476" s="17"/>
      <c r="DR476" s="17"/>
      <c r="DS476" s="17"/>
      <c r="DT476" s="17"/>
      <c r="DU476" s="17"/>
      <c r="DV476" s="17"/>
      <c r="DW476" s="17"/>
    </row>
    <row r="477" spans="1:127" ht="18" customHeight="1">
      <c r="A477" s="16"/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  <c r="DO477" s="17"/>
      <c r="DP477" s="17"/>
      <c r="DQ477" s="17"/>
      <c r="DR477" s="17"/>
      <c r="DS477" s="17"/>
      <c r="DT477" s="17"/>
      <c r="DU477" s="17"/>
      <c r="DV477" s="17"/>
      <c r="DW477" s="17"/>
    </row>
    <row r="478" spans="1:127" ht="18" customHeight="1">
      <c r="A478" s="16"/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  <c r="DO478" s="17"/>
      <c r="DP478" s="17"/>
      <c r="DQ478" s="17"/>
      <c r="DR478" s="17"/>
      <c r="DS478" s="17"/>
      <c r="DT478" s="17"/>
      <c r="DU478" s="17"/>
      <c r="DV478" s="17"/>
      <c r="DW478" s="17"/>
    </row>
    <row r="479" spans="1:127" ht="18" customHeight="1">
      <c r="A479" s="16"/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  <c r="DO479" s="17"/>
      <c r="DP479" s="17"/>
      <c r="DQ479" s="17"/>
      <c r="DR479" s="17"/>
      <c r="DS479" s="17"/>
      <c r="DT479" s="17"/>
      <c r="DU479" s="17"/>
      <c r="DV479" s="17"/>
      <c r="DW479" s="17"/>
    </row>
    <row r="480" spans="1:127" ht="18" customHeight="1">
      <c r="A480" s="16"/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  <c r="DO480" s="17"/>
      <c r="DP480" s="17"/>
      <c r="DQ480" s="17"/>
      <c r="DR480" s="17"/>
      <c r="DS480" s="17"/>
      <c r="DT480" s="17"/>
      <c r="DU480" s="17"/>
      <c r="DV480" s="17"/>
      <c r="DW480" s="17"/>
    </row>
    <row r="481" spans="1:127" ht="18" customHeight="1">
      <c r="A481" s="16"/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  <c r="DO481" s="17"/>
      <c r="DP481" s="17"/>
      <c r="DQ481" s="17"/>
      <c r="DR481" s="17"/>
      <c r="DS481" s="17"/>
      <c r="DT481" s="17"/>
      <c r="DU481" s="17"/>
      <c r="DV481" s="17"/>
      <c r="DW481" s="17"/>
    </row>
    <row r="482" spans="1:127" ht="18" customHeight="1">
      <c r="A482" s="16"/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  <c r="DO482" s="17"/>
      <c r="DP482" s="17"/>
      <c r="DQ482" s="17"/>
      <c r="DR482" s="17"/>
      <c r="DS482" s="17"/>
      <c r="DT482" s="17"/>
      <c r="DU482" s="17"/>
      <c r="DV482" s="17"/>
      <c r="DW482" s="17"/>
    </row>
    <row r="483" spans="1:127" ht="18" customHeight="1">
      <c r="A483" s="16"/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  <c r="DO483" s="17"/>
      <c r="DP483" s="17"/>
      <c r="DQ483" s="17"/>
      <c r="DR483" s="17"/>
      <c r="DS483" s="17"/>
      <c r="DT483" s="17"/>
      <c r="DU483" s="17"/>
      <c r="DV483" s="17"/>
      <c r="DW483" s="17"/>
    </row>
    <row r="484" spans="1:127" ht="18" customHeight="1">
      <c r="A484" s="16"/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  <c r="DO484" s="17"/>
      <c r="DP484" s="17"/>
      <c r="DQ484" s="17"/>
      <c r="DR484" s="17"/>
      <c r="DS484" s="17"/>
      <c r="DT484" s="17"/>
      <c r="DU484" s="17"/>
      <c r="DV484" s="17"/>
      <c r="DW484" s="17"/>
    </row>
    <row r="485" spans="1:127" ht="18" customHeight="1">
      <c r="A485" s="16"/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  <c r="DO485" s="17"/>
      <c r="DP485" s="17"/>
      <c r="DQ485" s="17"/>
      <c r="DR485" s="17"/>
      <c r="DS485" s="17"/>
      <c r="DT485" s="17"/>
      <c r="DU485" s="17"/>
      <c r="DV485" s="17"/>
      <c r="DW485" s="17"/>
    </row>
    <row r="486" spans="1:127" ht="18" customHeight="1">
      <c r="A486" s="16"/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  <c r="DO486" s="17"/>
      <c r="DP486" s="17"/>
      <c r="DQ486" s="17"/>
      <c r="DR486" s="17"/>
      <c r="DS486" s="17"/>
      <c r="DT486" s="17"/>
      <c r="DU486" s="17"/>
      <c r="DV486" s="17"/>
      <c r="DW486" s="17"/>
    </row>
    <row r="487" spans="1:127" ht="18" customHeight="1">
      <c r="A487" s="16"/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  <c r="DU487" s="17"/>
      <c r="DV487" s="17"/>
      <c r="DW487" s="17"/>
    </row>
    <row r="488" spans="1:127" ht="18" customHeight="1">
      <c r="A488" s="16"/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  <c r="DO488" s="17"/>
      <c r="DP488" s="17"/>
      <c r="DQ488" s="17"/>
      <c r="DR488" s="17"/>
      <c r="DS488" s="17"/>
      <c r="DT488" s="17"/>
      <c r="DU488" s="17"/>
      <c r="DV488" s="17"/>
      <c r="DW488" s="17"/>
    </row>
    <row r="489" spans="1:127" ht="18" customHeight="1">
      <c r="A489" s="16"/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  <c r="DO489" s="17"/>
      <c r="DP489" s="17"/>
      <c r="DQ489" s="17"/>
      <c r="DR489" s="17"/>
      <c r="DS489" s="17"/>
      <c r="DT489" s="17"/>
      <c r="DU489" s="17"/>
      <c r="DV489" s="17"/>
      <c r="DW489" s="17"/>
    </row>
    <row r="490" spans="1:127" ht="18" customHeight="1">
      <c r="A490" s="16"/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  <c r="DO490" s="17"/>
      <c r="DP490" s="17"/>
      <c r="DQ490" s="17"/>
      <c r="DR490" s="17"/>
      <c r="DS490" s="17"/>
      <c r="DT490" s="17"/>
      <c r="DU490" s="17"/>
      <c r="DV490" s="17"/>
      <c r="DW490" s="17"/>
    </row>
    <row r="491" spans="1:127" ht="18" customHeight="1">
      <c r="A491" s="16"/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  <c r="DO491" s="17"/>
      <c r="DP491" s="17"/>
      <c r="DQ491" s="17"/>
      <c r="DR491" s="17"/>
      <c r="DS491" s="17"/>
      <c r="DT491" s="17"/>
      <c r="DU491" s="17"/>
      <c r="DV491" s="17"/>
      <c r="DW491" s="17"/>
    </row>
    <row r="492" spans="1:127" ht="18" customHeight="1">
      <c r="A492" s="16"/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  <c r="DO492" s="17"/>
      <c r="DP492" s="17"/>
      <c r="DQ492" s="17"/>
      <c r="DR492" s="17"/>
      <c r="DS492" s="17"/>
      <c r="DT492" s="17"/>
      <c r="DU492" s="17"/>
      <c r="DV492" s="17"/>
      <c r="DW492" s="17"/>
    </row>
    <row r="493" spans="1:127" ht="18" customHeight="1">
      <c r="A493" s="16"/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  <c r="DO493" s="17"/>
      <c r="DP493" s="17"/>
      <c r="DQ493" s="17"/>
      <c r="DR493" s="17"/>
      <c r="DS493" s="17"/>
      <c r="DT493" s="17"/>
      <c r="DU493" s="17"/>
      <c r="DV493" s="17"/>
      <c r="DW493" s="17"/>
    </row>
    <row r="494" spans="1:127" ht="18" customHeight="1">
      <c r="A494" s="16"/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  <c r="DO494" s="17"/>
      <c r="DP494" s="17"/>
      <c r="DQ494" s="17"/>
      <c r="DR494" s="17"/>
      <c r="DS494" s="17"/>
      <c r="DT494" s="17"/>
      <c r="DU494" s="17"/>
      <c r="DV494" s="17"/>
      <c r="DW494" s="17"/>
    </row>
    <row r="495" spans="1:127" ht="18" customHeight="1">
      <c r="A495" s="16"/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  <c r="DO495" s="17"/>
      <c r="DP495" s="17"/>
      <c r="DQ495" s="17"/>
      <c r="DR495" s="17"/>
      <c r="DS495" s="17"/>
      <c r="DT495" s="17"/>
      <c r="DU495" s="17"/>
      <c r="DV495" s="17"/>
      <c r="DW495" s="17"/>
    </row>
    <row r="496" spans="1:127" ht="18" customHeight="1">
      <c r="A496" s="16"/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  <c r="DO496" s="17"/>
      <c r="DP496" s="17"/>
      <c r="DQ496" s="17"/>
      <c r="DR496" s="17"/>
      <c r="DS496" s="17"/>
      <c r="DT496" s="17"/>
      <c r="DU496" s="17"/>
      <c r="DV496" s="17"/>
      <c r="DW496" s="17"/>
    </row>
    <row r="497" spans="1:127" ht="18" customHeight="1">
      <c r="A497" s="16"/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  <c r="DO497" s="17"/>
      <c r="DP497" s="17"/>
      <c r="DQ497" s="17"/>
      <c r="DR497" s="17"/>
      <c r="DS497" s="17"/>
      <c r="DT497" s="17"/>
      <c r="DU497" s="17"/>
      <c r="DV497" s="17"/>
      <c r="DW497" s="17"/>
    </row>
    <row r="498" spans="1:127" ht="18" customHeight="1">
      <c r="A498" s="16"/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  <c r="DO498" s="17"/>
      <c r="DP498" s="17"/>
      <c r="DQ498" s="17"/>
      <c r="DR498" s="17"/>
      <c r="DS498" s="17"/>
      <c r="DT498" s="17"/>
      <c r="DU498" s="17"/>
      <c r="DV498" s="17"/>
      <c r="DW498" s="17"/>
    </row>
    <row r="499" spans="1:127" ht="18" customHeight="1">
      <c r="A499" s="16"/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  <c r="DO499" s="17"/>
      <c r="DP499" s="17"/>
      <c r="DQ499" s="17"/>
      <c r="DR499" s="17"/>
      <c r="DS499" s="17"/>
      <c r="DT499" s="17"/>
      <c r="DU499" s="17"/>
      <c r="DV499" s="17"/>
      <c r="DW499" s="17"/>
    </row>
    <row r="500" spans="1:127" ht="18" customHeight="1">
      <c r="A500" s="16"/>
      <c r="B500" s="16"/>
      <c r="C500" s="16"/>
      <c r="D500" s="16"/>
      <c r="E500" s="16"/>
      <c r="F500" s="16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  <c r="DO500" s="17"/>
      <c r="DP500" s="17"/>
      <c r="DQ500" s="17"/>
      <c r="DR500" s="17"/>
      <c r="DS500" s="17"/>
      <c r="DT500" s="17"/>
      <c r="DU500" s="17"/>
      <c r="DV500" s="17"/>
      <c r="DW500" s="17"/>
    </row>
    <row r="501" spans="1:127" ht="18" customHeight="1">
      <c r="A501" s="16"/>
      <c r="B501" s="16"/>
      <c r="C501" s="16"/>
      <c r="D501" s="16"/>
      <c r="E501" s="16"/>
      <c r="F501" s="16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  <c r="BK501" s="17"/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17"/>
      <c r="CU501" s="17"/>
      <c r="CV501" s="17"/>
      <c r="CW501" s="17"/>
      <c r="CX501" s="17"/>
      <c r="CY501" s="17"/>
      <c r="CZ501" s="17"/>
      <c r="DA501" s="17"/>
      <c r="DB501" s="17"/>
      <c r="DC501" s="17"/>
      <c r="DD501" s="17"/>
      <c r="DE501" s="17"/>
      <c r="DF501" s="17"/>
      <c r="DG501" s="17"/>
      <c r="DH501" s="17"/>
      <c r="DI501" s="17"/>
      <c r="DJ501" s="17"/>
      <c r="DK501" s="17"/>
      <c r="DL501" s="17"/>
      <c r="DM501" s="17"/>
      <c r="DN501" s="17"/>
      <c r="DO501" s="17"/>
      <c r="DP501" s="17"/>
      <c r="DQ501" s="17"/>
      <c r="DR501" s="17"/>
      <c r="DS501" s="17"/>
      <c r="DT501" s="17"/>
      <c r="DU501" s="17"/>
      <c r="DV501" s="17"/>
      <c r="DW501" s="17"/>
    </row>
    <row r="502" spans="1:127" ht="18" customHeight="1">
      <c r="A502" s="16"/>
      <c r="B502" s="16"/>
      <c r="C502" s="16"/>
      <c r="D502" s="16"/>
      <c r="E502" s="16"/>
      <c r="F502" s="16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  <c r="DO502" s="17"/>
      <c r="DP502" s="17"/>
      <c r="DQ502" s="17"/>
      <c r="DR502" s="17"/>
      <c r="DS502" s="17"/>
      <c r="DT502" s="17"/>
      <c r="DU502" s="17"/>
      <c r="DV502" s="17"/>
      <c r="DW502" s="17"/>
    </row>
    <row r="503" spans="1:127" ht="18" customHeight="1">
      <c r="A503" s="16"/>
      <c r="B503" s="16"/>
      <c r="C503" s="16"/>
      <c r="D503" s="16"/>
      <c r="E503" s="16"/>
      <c r="F503" s="16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  <c r="DO503" s="17"/>
      <c r="DP503" s="17"/>
      <c r="DQ503" s="17"/>
      <c r="DR503" s="17"/>
      <c r="DS503" s="17"/>
      <c r="DT503" s="17"/>
      <c r="DU503" s="17"/>
      <c r="DV503" s="17"/>
      <c r="DW503" s="17"/>
    </row>
    <row r="504" spans="1:127" ht="18" customHeight="1">
      <c r="A504" s="16"/>
      <c r="B504" s="16"/>
      <c r="C504" s="16"/>
      <c r="D504" s="16"/>
      <c r="E504" s="16"/>
      <c r="F504" s="16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  <c r="DO504" s="17"/>
      <c r="DP504" s="17"/>
      <c r="DQ504" s="17"/>
      <c r="DR504" s="17"/>
      <c r="DS504" s="17"/>
      <c r="DT504" s="17"/>
      <c r="DU504" s="17"/>
      <c r="DV504" s="17"/>
      <c r="DW504" s="17"/>
    </row>
    <row r="505" spans="1:127" ht="18" customHeight="1">
      <c r="A505" s="16"/>
      <c r="B505" s="16"/>
      <c r="C505" s="16"/>
      <c r="D505" s="16"/>
      <c r="E505" s="16"/>
      <c r="F505" s="16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  <c r="DO505" s="17"/>
      <c r="DP505" s="17"/>
      <c r="DQ505" s="17"/>
      <c r="DR505" s="17"/>
      <c r="DS505" s="17"/>
      <c r="DT505" s="17"/>
      <c r="DU505" s="17"/>
      <c r="DV505" s="17"/>
      <c r="DW505" s="17"/>
    </row>
    <row r="506" spans="1:127" ht="18" customHeight="1">
      <c r="A506" s="16"/>
      <c r="B506" s="16"/>
      <c r="C506" s="16"/>
      <c r="D506" s="16"/>
      <c r="E506" s="16"/>
      <c r="F506" s="16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  <c r="DO506" s="17"/>
      <c r="DP506" s="17"/>
      <c r="DQ506" s="17"/>
      <c r="DR506" s="17"/>
      <c r="DS506" s="17"/>
      <c r="DT506" s="17"/>
      <c r="DU506" s="17"/>
      <c r="DV506" s="17"/>
      <c r="DW506" s="17"/>
    </row>
    <row r="507" spans="1:127" ht="18" customHeight="1">
      <c r="A507" s="16"/>
      <c r="B507" s="16"/>
      <c r="C507" s="16"/>
      <c r="D507" s="16"/>
      <c r="E507" s="16"/>
      <c r="F507" s="16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  <c r="DO507" s="17"/>
      <c r="DP507" s="17"/>
      <c r="DQ507" s="17"/>
      <c r="DR507" s="17"/>
      <c r="DS507" s="17"/>
      <c r="DT507" s="17"/>
      <c r="DU507" s="17"/>
      <c r="DV507" s="17"/>
      <c r="DW507" s="17"/>
    </row>
    <row r="508" spans="1:127" ht="18" customHeight="1">
      <c r="A508" s="16"/>
      <c r="B508" s="16"/>
      <c r="C508" s="16"/>
      <c r="D508" s="16"/>
      <c r="E508" s="16"/>
      <c r="F508" s="16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  <c r="CZ508" s="17"/>
      <c r="DA508" s="17"/>
      <c r="DB508" s="17"/>
      <c r="DC508" s="17"/>
      <c r="DD508" s="17"/>
      <c r="DE508" s="17"/>
      <c r="DF508" s="17"/>
      <c r="DG508" s="17"/>
      <c r="DH508" s="17"/>
      <c r="DI508" s="17"/>
      <c r="DJ508" s="17"/>
      <c r="DK508" s="17"/>
      <c r="DL508" s="17"/>
      <c r="DM508" s="17"/>
      <c r="DN508" s="17"/>
      <c r="DO508" s="17"/>
      <c r="DP508" s="17"/>
      <c r="DQ508" s="17"/>
      <c r="DR508" s="17"/>
      <c r="DS508" s="17"/>
      <c r="DT508" s="17"/>
      <c r="DU508" s="17"/>
      <c r="DV508" s="17"/>
      <c r="DW508" s="17"/>
    </row>
    <row r="509" spans="1:127" ht="18" customHeight="1">
      <c r="A509" s="16"/>
      <c r="B509" s="16"/>
      <c r="C509" s="16"/>
      <c r="D509" s="16"/>
      <c r="E509" s="16"/>
      <c r="F509" s="16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  <c r="CZ509" s="17"/>
      <c r="DA509" s="17"/>
      <c r="DB509" s="17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  <c r="DM509" s="17"/>
      <c r="DN509" s="17"/>
      <c r="DO509" s="17"/>
      <c r="DP509" s="17"/>
      <c r="DQ509" s="17"/>
      <c r="DR509" s="17"/>
      <c r="DS509" s="17"/>
      <c r="DT509" s="17"/>
      <c r="DU509" s="17"/>
      <c r="DV509" s="17"/>
      <c r="DW509" s="17"/>
    </row>
    <row r="510" spans="1:127" ht="18" customHeight="1">
      <c r="A510" s="16"/>
      <c r="B510" s="16"/>
      <c r="C510" s="16"/>
      <c r="D510" s="16"/>
      <c r="E510" s="16"/>
      <c r="F510" s="16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  <c r="CZ510" s="17"/>
      <c r="DA510" s="17"/>
      <c r="DB510" s="17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  <c r="DM510" s="17"/>
      <c r="DN510" s="17"/>
      <c r="DO510" s="17"/>
      <c r="DP510" s="17"/>
      <c r="DQ510" s="17"/>
      <c r="DR510" s="17"/>
      <c r="DS510" s="17"/>
      <c r="DT510" s="17"/>
      <c r="DU510" s="17"/>
      <c r="DV510" s="17"/>
      <c r="DW510" s="17"/>
    </row>
    <row r="511" spans="1:127" ht="18" customHeight="1">
      <c r="A511" s="16"/>
      <c r="B511" s="16"/>
      <c r="C511" s="16"/>
      <c r="D511" s="16"/>
      <c r="E511" s="16"/>
      <c r="F511" s="16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  <c r="CZ511" s="17"/>
      <c r="DA511" s="17"/>
      <c r="DB511" s="17"/>
      <c r="DC511" s="17"/>
      <c r="DD511" s="17"/>
      <c r="DE511" s="17"/>
      <c r="DF511" s="17"/>
      <c r="DG511" s="17"/>
      <c r="DH511" s="17"/>
      <c r="DI511" s="17"/>
      <c r="DJ511" s="17"/>
      <c r="DK511" s="17"/>
      <c r="DL511" s="17"/>
      <c r="DM511" s="17"/>
      <c r="DN511" s="17"/>
      <c r="DO511" s="17"/>
      <c r="DP511" s="17"/>
      <c r="DQ511" s="17"/>
      <c r="DR511" s="17"/>
      <c r="DS511" s="17"/>
      <c r="DT511" s="17"/>
      <c r="DU511" s="17"/>
      <c r="DV511" s="17"/>
      <c r="DW511" s="17"/>
    </row>
    <row r="512" spans="1:127" ht="18" customHeight="1">
      <c r="A512" s="16"/>
      <c r="B512" s="16"/>
      <c r="C512" s="16"/>
      <c r="D512" s="16"/>
      <c r="E512" s="16"/>
      <c r="F512" s="16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  <c r="CZ512" s="17"/>
      <c r="DA512" s="17"/>
      <c r="DB512" s="17"/>
      <c r="DC512" s="17"/>
      <c r="DD512" s="17"/>
      <c r="DE512" s="17"/>
      <c r="DF512" s="17"/>
      <c r="DG512" s="17"/>
      <c r="DH512" s="17"/>
      <c r="DI512" s="17"/>
      <c r="DJ512" s="17"/>
      <c r="DK512" s="17"/>
      <c r="DL512" s="17"/>
      <c r="DM512" s="17"/>
      <c r="DN512" s="17"/>
      <c r="DO512" s="17"/>
      <c r="DP512" s="17"/>
      <c r="DQ512" s="17"/>
      <c r="DR512" s="17"/>
      <c r="DS512" s="17"/>
      <c r="DT512" s="17"/>
      <c r="DU512" s="17"/>
      <c r="DV512" s="17"/>
      <c r="DW512" s="17"/>
    </row>
    <row r="513" spans="1:127" ht="18" customHeight="1">
      <c r="A513" s="16"/>
      <c r="B513" s="16"/>
      <c r="C513" s="16"/>
      <c r="D513" s="16"/>
      <c r="E513" s="16"/>
      <c r="F513" s="16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  <c r="CZ513" s="17"/>
      <c r="DA513" s="17"/>
      <c r="DB513" s="17"/>
      <c r="DC513" s="17"/>
      <c r="DD513" s="17"/>
      <c r="DE513" s="17"/>
      <c r="DF513" s="17"/>
      <c r="DG513" s="17"/>
      <c r="DH513" s="17"/>
      <c r="DI513" s="17"/>
      <c r="DJ513" s="17"/>
      <c r="DK513" s="17"/>
      <c r="DL513" s="17"/>
      <c r="DM513" s="17"/>
      <c r="DN513" s="17"/>
      <c r="DO513" s="17"/>
      <c r="DP513" s="17"/>
      <c r="DQ513" s="17"/>
      <c r="DR513" s="17"/>
      <c r="DS513" s="17"/>
      <c r="DT513" s="17"/>
      <c r="DU513" s="17"/>
      <c r="DV513" s="17"/>
      <c r="DW513" s="17"/>
    </row>
    <row r="514" spans="1:127" ht="18" customHeight="1">
      <c r="A514" s="16"/>
      <c r="B514" s="16"/>
      <c r="C514" s="16"/>
      <c r="D514" s="16"/>
      <c r="E514" s="16"/>
      <c r="F514" s="16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  <c r="CY514" s="17"/>
      <c r="CZ514" s="17"/>
      <c r="DA514" s="17"/>
      <c r="DB514" s="17"/>
      <c r="DC514" s="17"/>
      <c r="DD514" s="17"/>
      <c r="DE514" s="17"/>
      <c r="DF514" s="17"/>
      <c r="DG514" s="17"/>
      <c r="DH514" s="17"/>
      <c r="DI514" s="17"/>
      <c r="DJ514" s="17"/>
      <c r="DK514" s="17"/>
      <c r="DL514" s="17"/>
      <c r="DM514" s="17"/>
      <c r="DN514" s="17"/>
      <c r="DO514" s="17"/>
      <c r="DP514" s="17"/>
      <c r="DQ514" s="17"/>
      <c r="DR514" s="17"/>
      <c r="DS514" s="17"/>
      <c r="DT514" s="17"/>
      <c r="DU514" s="17"/>
      <c r="DV514" s="17"/>
      <c r="DW514" s="17"/>
    </row>
    <row r="515" spans="1:127" ht="18" customHeight="1">
      <c r="A515" s="16"/>
      <c r="B515" s="16"/>
      <c r="C515" s="16"/>
      <c r="D515" s="16"/>
      <c r="E515" s="16"/>
      <c r="F515" s="16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  <c r="DM515" s="17"/>
      <c r="DN515" s="17"/>
      <c r="DO515" s="17"/>
      <c r="DP515" s="17"/>
      <c r="DQ515" s="17"/>
      <c r="DR515" s="17"/>
      <c r="DS515" s="17"/>
      <c r="DT515" s="17"/>
      <c r="DU515" s="17"/>
      <c r="DV515" s="17"/>
      <c r="DW515" s="17"/>
    </row>
    <row r="516" spans="1:127" ht="18" customHeight="1">
      <c r="A516" s="16"/>
      <c r="B516" s="16"/>
      <c r="C516" s="16"/>
      <c r="D516" s="16"/>
      <c r="E516" s="16"/>
      <c r="F516" s="16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  <c r="CZ516" s="17"/>
      <c r="DA516" s="17"/>
      <c r="DB516" s="17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  <c r="DM516" s="17"/>
      <c r="DN516" s="17"/>
      <c r="DO516" s="17"/>
      <c r="DP516" s="17"/>
      <c r="DQ516" s="17"/>
      <c r="DR516" s="17"/>
      <c r="DS516" s="17"/>
      <c r="DT516" s="17"/>
      <c r="DU516" s="17"/>
      <c r="DV516" s="17"/>
      <c r="DW516" s="17"/>
    </row>
    <row r="517" spans="1:127" ht="18" customHeight="1">
      <c r="A517" s="16"/>
      <c r="B517" s="16"/>
      <c r="C517" s="16"/>
      <c r="D517" s="16"/>
      <c r="E517" s="16"/>
      <c r="F517" s="16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  <c r="CZ517" s="17"/>
      <c r="DA517" s="17"/>
      <c r="DB517" s="17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  <c r="DM517" s="17"/>
      <c r="DN517" s="17"/>
      <c r="DO517" s="17"/>
      <c r="DP517" s="17"/>
      <c r="DQ517" s="17"/>
      <c r="DR517" s="17"/>
      <c r="DS517" s="17"/>
      <c r="DT517" s="17"/>
      <c r="DU517" s="17"/>
      <c r="DV517" s="17"/>
      <c r="DW517" s="17"/>
    </row>
    <row r="518" spans="1:127" ht="18" customHeight="1">
      <c r="A518" s="16"/>
      <c r="B518" s="16"/>
      <c r="C518" s="16"/>
      <c r="D518" s="16"/>
      <c r="E518" s="16"/>
      <c r="F518" s="16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  <c r="CZ518" s="17"/>
      <c r="DA518" s="17"/>
      <c r="DB518" s="17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  <c r="DM518" s="17"/>
      <c r="DN518" s="17"/>
      <c r="DO518" s="17"/>
      <c r="DP518" s="17"/>
      <c r="DQ518" s="17"/>
      <c r="DR518" s="17"/>
      <c r="DS518" s="17"/>
      <c r="DT518" s="17"/>
      <c r="DU518" s="17"/>
      <c r="DV518" s="17"/>
      <c r="DW518" s="17"/>
    </row>
    <row r="519" spans="1:127" ht="18" customHeight="1">
      <c r="A519" s="16"/>
      <c r="B519" s="16"/>
      <c r="C519" s="16"/>
      <c r="D519" s="16"/>
      <c r="E519" s="16"/>
      <c r="F519" s="16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  <c r="CY519" s="17"/>
      <c r="CZ519" s="17"/>
      <c r="DA519" s="17"/>
      <c r="DB519" s="17"/>
      <c r="DC519" s="17"/>
      <c r="DD519" s="17"/>
      <c r="DE519" s="17"/>
      <c r="DF519" s="17"/>
      <c r="DG519" s="17"/>
      <c r="DH519" s="17"/>
      <c r="DI519" s="17"/>
      <c r="DJ519" s="17"/>
      <c r="DK519" s="17"/>
      <c r="DL519" s="17"/>
      <c r="DM519" s="17"/>
      <c r="DN519" s="17"/>
      <c r="DO519" s="17"/>
      <c r="DP519" s="17"/>
      <c r="DQ519" s="17"/>
      <c r="DR519" s="17"/>
      <c r="DS519" s="17"/>
      <c r="DT519" s="17"/>
      <c r="DU519" s="17"/>
      <c r="DV519" s="17"/>
      <c r="DW519" s="17"/>
    </row>
    <row r="520" spans="1:127" ht="18" customHeight="1">
      <c r="A520" s="16"/>
      <c r="B520" s="16"/>
      <c r="C520" s="16"/>
      <c r="D520" s="16"/>
      <c r="E520" s="16"/>
      <c r="F520" s="16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  <c r="CZ520" s="17"/>
      <c r="DA520" s="17"/>
      <c r="DB520" s="17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  <c r="DM520" s="17"/>
      <c r="DN520" s="17"/>
      <c r="DO520" s="17"/>
      <c r="DP520" s="17"/>
      <c r="DQ520" s="17"/>
      <c r="DR520" s="17"/>
      <c r="DS520" s="17"/>
      <c r="DT520" s="17"/>
      <c r="DU520" s="17"/>
      <c r="DV520" s="17"/>
      <c r="DW520" s="17"/>
    </row>
    <row r="521" spans="1:127" ht="18" customHeight="1">
      <c r="A521" s="16"/>
      <c r="B521" s="16"/>
      <c r="C521" s="16"/>
      <c r="D521" s="16"/>
      <c r="E521" s="16"/>
      <c r="F521" s="16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  <c r="CZ521" s="17"/>
      <c r="DA521" s="17"/>
      <c r="DB521" s="17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  <c r="DM521" s="17"/>
      <c r="DN521" s="17"/>
      <c r="DO521" s="17"/>
      <c r="DP521" s="17"/>
      <c r="DQ521" s="17"/>
      <c r="DR521" s="17"/>
      <c r="DS521" s="17"/>
      <c r="DT521" s="17"/>
      <c r="DU521" s="17"/>
      <c r="DV521" s="17"/>
      <c r="DW521" s="17"/>
    </row>
    <row r="522" spans="1:127" ht="18" customHeight="1">
      <c r="A522" s="16"/>
      <c r="B522" s="16"/>
      <c r="C522" s="16"/>
      <c r="D522" s="16"/>
      <c r="E522" s="16"/>
      <c r="F522" s="16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  <c r="CY522" s="17"/>
      <c r="CZ522" s="17"/>
      <c r="DA522" s="17"/>
      <c r="DB522" s="17"/>
      <c r="DC522" s="17"/>
      <c r="DD522" s="17"/>
      <c r="DE522" s="17"/>
      <c r="DF522" s="17"/>
      <c r="DG522" s="17"/>
      <c r="DH522" s="17"/>
      <c r="DI522" s="17"/>
      <c r="DJ522" s="17"/>
      <c r="DK522" s="17"/>
      <c r="DL522" s="17"/>
      <c r="DM522" s="17"/>
      <c r="DN522" s="17"/>
      <c r="DO522" s="17"/>
      <c r="DP522" s="17"/>
      <c r="DQ522" s="17"/>
      <c r="DR522" s="17"/>
      <c r="DS522" s="17"/>
      <c r="DT522" s="17"/>
      <c r="DU522" s="17"/>
      <c r="DV522" s="17"/>
      <c r="DW522" s="17"/>
    </row>
    <row r="523" spans="1:127" ht="18" customHeight="1">
      <c r="A523" s="16"/>
      <c r="B523" s="16"/>
      <c r="C523" s="16"/>
      <c r="D523" s="16"/>
      <c r="E523" s="16"/>
      <c r="F523" s="16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  <c r="CY523" s="17"/>
      <c r="CZ523" s="17"/>
      <c r="DA523" s="17"/>
      <c r="DB523" s="17"/>
      <c r="DC523" s="17"/>
      <c r="DD523" s="17"/>
      <c r="DE523" s="17"/>
      <c r="DF523" s="17"/>
      <c r="DG523" s="17"/>
      <c r="DH523" s="17"/>
      <c r="DI523" s="17"/>
      <c r="DJ523" s="17"/>
      <c r="DK523" s="17"/>
      <c r="DL523" s="17"/>
      <c r="DM523" s="17"/>
      <c r="DN523" s="17"/>
      <c r="DO523" s="17"/>
      <c r="DP523" s="17"/>
      <c r="DQ523" s="17"/>
      <c r="DR523" s="17"/>
      <c r="DS523" s="17"/>
      <c r="DT523" s="17"/>
      <c r="DU523" s="17"/>
      <c r="DV523" s="17"/>
      <c r="DW523" s="17"/>
    </row>
    <row r="524" spans="1:127" ht="18" customHeight="1">
      <c r="A524" s="16"/>
      <c r="B524" s="16"/>
      <c r="C524" s="16"/>
      <c r="D524" s="16"/>
      <c r="E524" s="16"/>
      <c r="F524" s="16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  <c r="CY524" s="17"/>
      <c r="CZ524" s="17"/>
      <c r="DA524" s="17"/>
      <c r="DB524" s="17"/>
      <c r="DC524" s="17"/>
      <c r="DD524" s="17"/>
      <c r="DE524" s="17"/>
      <c r="DF524" s="17"/>
      <c r="DG524" s="17"/>
      <c r="DH524" s="17"/>
      <c r="DI524" s="17"/>
      <c r="DJ524" s="17"/>
      <c r="DK524" s="17"/>
      <c r="DL524" s="17"/>
      <c r="DM524" s="17"/>
      <c r="DN524" s="17"/>
      <c r="DO524" s="17"/>
      <c r="DP524" s="17"/>
      <c r="DQ524" s="17"/>
      <c r="DR524" s="17"/>
      <c r="DS524" s="17"/>
      <c r="DT524" s="17"/>
      <c r="DU524" s="17"/>
      <c r="DV524" s="17"/>
      <c r="DW524" s="17"/>
    </row>
    <row r="525" spans="1:127" ht="18" customHeight="1">
      <c r="A525" s="16"/>
      <c r="B525" s="16"/>
      <c r="C525" s="16"/>
      <c r="D525" s="16"/>
      <c r="E525" s="16"/>
      <c r="F525" s="16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17"/>
      <c r="CU525" s="17"/>
      <c r="CV525" s="17"/>
      <c r="CW525" s="17"/>
      <c r="CX525" s="17"/>
      <c r="CY525" s="17"/>
      <c r="CZ525" s="17"/>
      <c r="DA525" s="17"/>
      <c r="DB525" s="17"/>
      <c r="DC525" s="17"/>
      <c r="DD525" s="17"/>
      <c r="DE525" s="17"/>
      <c r="DF525" s="17"/>
      <c r="DG525" s="17"/>
      <c r="DH525" s="17"/>
      <c r="DI525" s="17"/>
      <c r="DJ525" s="17"/>
      <c r="DK525" s="17"/>
      <c r="DL525" s="17"/>
      <c r="DM525" s="17"/>
      <c r="DN525" s="17"/>
      <c r="DO525" s="17"/>
      <c r="DP525" s="17"/>
      <c r="DQ525" s="17"/>
      <c r="DR525" s="17"/>
      <c r="DS525" s="17"/>
      <c r="DT525" s="17"/>
      <c r="DU525" s="17"/>
      <c r="DV525" s="17"/>
      <c r="DW525" s="17"/>
    </row>
    <row r="526" spans="1:127" ht="18" customHeight="1">
      <c r="A526" s="16"/>
      <c r="B526" s="16"/>
      <c r="C526" s="16"/>
      <c r="D526" s="16"/>
      <c r="E526" s="16"/>
      <c r="F526" s="16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7"/>
      <c r="CX526" s="17"/>
      <c r="CY526" s="17"/>
      <c r="CZ526" s="17"/>
      <c r="DA526" s="17"/>
      <c r="DB526" s="17"/>
      <c r="DC526" s="17"/>
      <c r="DD526" s="17"/>
      <c r="DE526" s="17"/>
      <c r="DF526" s="17"/>
      <c r="DG526" s="17"/>
      <c r="DH526" s="17"/>
      <c r="DI526" s="17"/>
      <c r="DJ526" s="17"/>
      <c r="DK526" s="17"/>
      <c r="DL526" s="17"/>
      <c r="DM526" s="17"/>
      <c r="DN526" s="17"/>
      <c r="DO526" s="17"/>
      <c r="DP526" s="17"/>
      <c r="DQ526" s="17"/>
      <c r="DR526" s="17"/>
      <c r="DS526" s="17"/>
      <c r="DT526" s="17"/>
      <c r="DU526" s="17"/>
      <c r="DV526" s="17"/>
      <c r="DW526" s="17"/>
    </row>
    <row r="527" spans="1:127" ht="18" customHeight="1">
      <c r="A527" s="16"/>
      <c r="B527" s="16"/>
      <c r="C527" s="16"/>
      <c r="D527" s="16"/>
      <c r="E527" s="16"/>
      <c r="F527" s="16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  <c r="CY527" s="17"/>
      <c r="CZ527" s="17"/>
      <c r="DA527" s="17"/>
      <c r="DB527" s="17"/>
      <c r="DC527" s="17"/>
      <c r="DD527" s="17"/>
      <c r="DE527" s="17"/>
      <c r="DF527" s="17"/>
      <c r="DG527" s="17"/>
      <c r="DH527" s="17"/>
      <c r="DI527" s="17"/>
      <c r="DJ527" s="17"/>
      <c r="DK527" s="17"/>
      <c r="DL527" s="17"/>
      <c r="DM527" s="17"/>
      <c r="DN527" s="17"/>
      <c r="DO527" s="17"/>
      <c r="DP527" s="17"/>
      <c r="DQ527" s="17"/>
      <c r="DR527" s="17"/>
      <c r="DS527" s="17"/>
      <c r="DT527" s="17"/>
      <c r="DU527" s="17"/>
      <c r="DV527" s="17"/>
      <c r="DW527" s="17"/>
    </row>
    <row r="528" spans="1:127" ht="18" customHeight="1">
      <c r="A528" s="16"/>
      <c r="B528" s="16"/>
      <c r="C528" s="16"/>
      <c r="D528" s="16"/>
      <c r="E528" s="16"/>
      <c r="F528" s="16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  <c r="CY528" s="17"/>
      <c r="CZ528" s="17"/>
      <c r="DA528" s="17"/>
      <c r="DB528" s="17"/>
      <c r="DC528" s="17"/>
      <c r="DD528" s="17"/>
      <c r="DE528" s="17"/>
      <c r="DF528" s="17"/>
      <c r="DG528" s="17"/>
      <c r="DH528" s="17"/>
      <c r="DI528" s="17"/>
      <c r="DJ528" s="17"/>
      <c r="DK528" s="17"/>
      <c r="DL528" s="17"/>
      <c r="DM528" s="17"/>
      <c r="DN528" s="17"/>
      <c r="DO528" s="17"/>
      <c r="DP528" s="17"/>
      <c r="DQ528" s="17"/>
      <c r="DR528" s="17"/>
      <c r="DS528" s="17"/>
      <c r="DT528" s="17"/>
      <c r="DU528" s="17"/>
      <c r="DV528" s="17"/>
      <c r="DW528" s="17"/>
    </row>
    <row r="529" spans="1:127" ht="18" customHeight="1">
      <c r="A529" s="16"/>
      <c r="B529" s="16"/>
      <c r="C529" s="16"/>
      <c r="D529" s="16"/>
      <c r="E529" s="16"/>
      <c r="F529" s="16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  <c r="CZ529" s="17"/>
      <c r="DA529" s="17"/>
      <c r="DB529" s="17"/>
      <c r="DC529" s="17"/>
      <c r="DD529" s="17"/>
      <c r="DE529" s="17"/>
      <c r="DF529" s="17"/>
      <c r="DG529" s="17"/>
      <c r="DH529" s="17"/>
      <c r="DI529" s="17"/>
      <c r="DJ529" s="17"/>
      <c r="DK529" s="17"/>
      <c r="DL529" s="17"/>
      <c r="DM529" s="17"/>
      <c r="DN529" s="17"/>
      <c r="DO529" s="17"/>
      <c r="DP529" s="17"/>
      <c r="DQ529" s="17"/>
      <c r="DR529" s="17"/>
      <c r="DS529" s="17"/>
      <c r="DT529" s="17"/>
      <c r="DU529" s="17"/>
      <c r="DV529" s="17"/>
      <c r="DW529" s="17"/>
    </row>
    <row r="530" spans="1:127" ht="18" customHeight="1">
      <c r="A530" s="16"/>
      <c r="B530" s="16"/>
      <c r="C530" s="16"/>
      <c r="D530" s="16"/>
      <c r="E530" s="16"/>
      <c r="F530" s="16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  <c r="CY530" s="17"/>
      <c r="CZ530" s="17"/>
      <c r="DA530" s="17"/>
      <c r="DB530" s="17"/>
      <c r="DC530" s="17"/>
      <c r="DD530" s="17"/>
      <c r="DE530" s="17"/>
      <c r="DF530" s="17"/>
      <c r="DG530" s="17"/>
      <c r="DH530" s="17"/>
      <c r="DI530" s="17"/>
      <c r="DJ530" s="17"/>
      <c r="DK530" s="17"/>
      <c r="DL530" s="17"/>
      <c r="DM530" s="17"/>
      <c r="DN530" s="17"/>
      <c r="DO530" s="17"/>
      <c r="DP530" s="17"/>
      <c r="DQ530" s="17"/>
      <c r="DR530" s="17"/>
      <c r="DS530" s="17"/>
      <c r="DT530" s="17"/>
      <c r="DU530" s="17"/>
      <c r="DV530" s="17"/>
      <c r="DW530" s="17"/>
    </row>
    <row r="531" spans="1:127" ht="18" customHeight="1">
      <c r="A531" s="16"/>
      <c r="B531" s="16"/>
      <c r="C531" s="16"/>
      <c r="D531" s="16"/>
      <c r="E531" s="16"/>
      <c r="F531" s="16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  <c r="CY531" s="17"/>
      <c r="CZ531" s="17"/>
      <c r="DA531" s="17"/>
      <c r="DB531" s="17"/>
      <c r="DC531" s="17"/>
      <c r="DD531" s="17"/>
      <c r="DE531" s="17"/>
      <c r="DF531" s="17"/>
      <c r="DG531" s="17"/>
      <c r="DH531" s="17"/>
      <c r="DI531" s="17"/>
      <c r="DJ531" s="17"/>
      <c r="DK531" s="17"/>
      <c r="DL531" s="17"/>
      <c r="DM531" s="17"/>
      <c r="DN531" s="17"/>
      <c r="DO531" s="17"/>
      <c r="DP531" s="17"/>
      <c r="DQ531" s="17"/>
      <c r="DR531" s="17"/>
      <c r="DS531" s="17"/>
      <c r="DT531" s="17"/>
      <c r="DU531" s="17"/>
      <c r="DV531" s="17"/>
      <c r="DW531" s="17"/>
    </row>
    <row r="532" spans="1:127" ht="18" customHeight="1">
      <c r="A532" s="16"/>
      <c r="B532" s="16"/>
      <c r="C532" s="16"/>
      <c r="D532" s="16"/>
      <c r="E532" s="16"/>
      <c r="F532" s="16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  <c r="CY532" s="17"/>
      <c r="CZ532" s="17"/>
      <c r="DA532" s="17"/>
      <c r="DB532" s="17"/>
      <c r="DC532" s="17"/>
      <c r="DD532" s="17"/>
      <c r="DE532" s="17"/>
      <c r="DF532" s="17"/>
      <c r="DG532" s="17"/>
      <c r="DH532" s="17"/>
      <c r="DI532" s="17"/>
      <c r="DJ532" s="17"/>
      <c r="DK532" s="17"/>
      <c r="DL532" s="17"/>
      <c r="DM532" s="17"/>
      <c r="DN532" s="17"/>
      <c r="DO532" s="17"/>
      <c r="DP532" s="17"/>
      <c r="DQ532" s="17"/>
      <c r="DR532" s="17"/>
      <c r="DS532" s="17"/>
      <c r="DT532" s="17"/>
      <c r="DU532" s="17"/>
      <c r="DV532" s="17"/>
      <c r="DW532" s="17"/>
    </row>
    <row r="533" spans="1:127" ht="18" customHeight="1">
      <c r="A533" s="16"/>
      <c r="B533" s="16"/>
      <c r="C533" s="16"/>
      <c r="D533" s="16"/>
      <c r="E533" s="16"/>
      <c r="F533" s="16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  <c r="CZ533" s="17"/>
      <c r="DA533" s="17"/>
      <c r="DB533" s="17"/>
      <c r="DC533" s="17"/>
      <c r="DD533" s="17"/>
      <c r="DE533" s="17"/>
      <c r="DF533" s="17"/>
      <c r="DG533" s="17"/>
      <c r="DH533" s="17"/>
      <c r="DI533" s="17"/>
      <c r="DJ533" s="17"/>
      <c r="DK533" s="17"/>
      <c r="DL533" s="17"/>
      <c r="DM533" s="17"/>
      <c r="DN533" s="17"/>
      <c r="DO533" s="17"/>
      <c r="DP533" s="17"/>
      <c r="DQ533" s="17"/>
      <c r="DR533" s="17"/>
      <c r="DS533" s="17"/>
      <c r="DT533" s="17"/>
      <c r="DU533" s="17"/>
      <c r="DV533" s="17"/>
      <c r="DW533" s="17"/>
    </row>
    <row r="534" spans="1:127" ht="18" customHeight="1">
      <c r="A534" s="16"/>
      <c r="B534" s="16"/>
      <c r="C534" s="16"/>
      <c r="D534" s="16"/>
      <c r="E534" s="16"/>
      <c r="F534" s="16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  <c r="CY534" s="17"/>
      <c r="CZ534" s="17"/>
      <c r="DA534" s="17"/>
      <c r="DB534" s="17"/>
      <c r="DC534" s="17"/>
      <c r="DD534" s="17"/>
      <c r="DE534" s="17"/>
      <c r="DF534" s="17"/>
      <c r="DG534" s="17"/>
      <c r="DH534" s="17"/>
      <c r="DI534" s="17"/>
      <c r="DJ534" s="17"/>
      <c r="DK534" s="17"/>
      <c r="DL534" s="17"/>
      <c r="DM534" s="17"/>
      <c r="DN534" s="17"/>
      <c r="DO534" s="17"/>
      <c r="DP534" s="17"/>
      <c r="DQ534" s="17"/>
      <c r="DR534" s="17"/>
      <c r="DS534" s="17"/>
      <c r="DT534" s="17"/>
      <c r="DU534" s="17"/>
      <c r="DV534" s="17"/>
      <c r="DW534" s="17"/>
    </row>
    <row r="535" spans="1:127" ht="18" customHeight="1">
      <c r="A535" s="16"/>
      <c r="B535" s="16"/>
      <c r="C535" s="16"/>
      <c r="D535" s="16"/>
      <c r="E535" s="16"/>
      <c r="F535" s="16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  <c r="CY535" s="17"/>
      <c r="CZ535" s="17"/>
      <c r="DA535" s="17"/>
      <c r="DB535" s="17"/>
      <c r="DC535" s="17"/>
      <c r="DD535" s="17"/>
      <c r="DE535" s="17"/>
      <c r="DF535" s="17"/>
      <c r="DG535" s="17"/>
      <c r="DH535" s="17"/>
      <c r="DI535" s="17"/>
      <c r="DJ535" s="17"/>
      <c r="DK535" s="17"/>
      <c r="DL535" s="17"/>
      <c r="DM535" s="17"/>
      <c r="DN535" s="17"/>
      <c r="DO535" s="17"/>
      <c r="DP535" s="17"/>
      <c r="DQ535" s="17"/>
      <c r="DR535" s="17"/>
      <c r="DS535" s="17"/>
      <c r="DT535" s="17"/>
      <c r="DU535" s="17"/>
      <c r="DV535" s="17"/>
      <c r="DW535" s="17"/>
    </row>
    <row r="536" spans="1:127" ht="18" customHeight="1">
      <c r="A536" s="16"/>
      <c r="B536" s="16"/>
      <c r="C536" s="16"/>
      <c r="D536" s="16"/>
      <c r="E536" s="16"/>
      <c r="F536" s="16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7"/>
      <c r="CX536" s="17"/>
      <c r="CY536" s="17"/>
      <c r="CZ536" s="17"/>
      <c r="DA536" s="17"/>
      <c r="DB536" s="17"/>
      <c r="DC536" s="17"/>
      <c r="DD536" s="17"/>
      <c r="DE536" s="17"/>
      <c r="DF536" s="17"/>
      <c r="DG536" s="17"/>
      <c r="DH536" s="17"/>
      <c r="DI536" s="17"/>
      <c r="DJ536" s="17"/>
      <c r="DK536" s="17"/>
      <c r="DL536" s="17"/>
      <c r="DM536" s="17"/>
      <c r="DN536" s="17"/>
      <c r="DO536" s="17"/>
      <c r="DP536" s="17"/>
      <c r="DQ536" s="17"/>
      <c r="DR536" s="17"/>
      <c r="DS536" s="17"/>
      <c r="DT536" s="17"/>
      <c r="DU536" s="17"/>
      <c r="DV536" s="17"/>
      <c r="DW536" s="17"/>
    </row>
    <row r="537" spans="1:127" ht="18" customHeight="1">
      <c r="A537" s="16"/>
      <c r="B537" s="16"/>
      <c r="C537" s="16"/>
      <c r="D537" s="16"/>
      <c r="E537" s="16"/>
      <c r="F537" s="16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  <c r="CY537" s="17"/>
      <c r="CZ537" s="17"/>
      <c r="DA537" s="17"/>
      <c r="DB537" s="17"/>
      <c r="DC537" s="17"/>
      <c r="DD537" s="17"/>
      <c r="DE537" s="17"/>
      <c r="DF537" s="17"/>
      <c r="DG537" s="17"/>
      <c r="DH537" s="17"/>
      <c r="DI537" s="17"/>
      <c r="DJ537" s="17"/>
      <c r="DK537" s="17"/>
      <c r="DL537" s="17"/>
      <c r="DM537" s="17"/>
      <c r="DN537" s="17"/>
      <c r="DO537" s="17"/>
      <c r="DP537" s="17"/>
      <c r="DQ537" s="17"/>
      <c r="DR537" s="17"/>
      <c r="DS537" s="17"/>
      <c r="DT537" s="17"/>
      <c r="DU537" s="17"/>
      <c r="DV537" s="17"/>
      <c r="DW537" s="17"/>
    </row>
    <row r="538" spans="1:127" ht="18" customHeight="1">
      <c r="A538" s="16"/>
      <c r="B538" s="16"/>
      <c r="C538" s="16"/>
      <c r="D538" s="16"/>
      <c r="E538" s="16"/>
      <c r="F538" s="16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  <c r="CY538" s="17"/>
      <c r="CZ538" s="17"/>
      <c r="DA538" s="17"/>
      <c r="DB538" s="17"/>
      <c r="DC538" s="17"/>
      <c r="DD538" s="17"/>
      <c r="DE538" s="17"/>
      <c r="DF538" s="17"/>
      <c r="DG538" s="17"/>
      <c r="DH538" s="17"/>
      <c r="DI538" s="17"/>
      <c r="DJ538" s="17"/>
      <c r="DK538" s="17"/>
      <c r="DL538" s="17"/>
      <c r="DM538" s="17"/>
      <c r="DN538" s="17"/>
      <c r="DO538" s="17"/>
      <c r="DP538" s="17"/>
      <c r="DQ538" s="17"/>
      <c r="DR538" s="17"/>
      <c r="DS538" s="17"/>
      <c r="DT538" s="17"/>
      <c r="DU538" s="17"/>
      <c r="DV538" s="17"/>
      <c r="DW538" s="17"/>
    </row>
    <row r="539" spans="1:127" ht="18" customHeight="1">
      <c r="A539" s="16"/>
      <c r="B539" s="16"/>
      <c r="C539" s="16"/>
      <c r="D539" s="16"/>
      <c r="E539" s="16"/>
      <c r="F539" s="16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  <c r="CY539" s="17"/>
      <c r="CZ539" s="17"/>
      <c r="DA539" s="17"/>
      <c r="DB539" s="17"/>
      <c r="DC539" s="17"/>
      <c r="DD539" s="17"/>
      <c r="DE539" s="17"/>
      <c r="DF539" s="17"/>
      <c r="DG539" s="17"/>
      <c r="DH539" s="17"/>
      <c r="DI539" s="17"/>
      <c r="DJ539" s="17"/>
      <c r="DK539" s="17"/>
      <c r="DL539" s="17"/>
      <c r="DM539" s="17"/>
      <c r="DN539" s="17"/>
      <c r="DO539" s="17"/>
      <c r="DP539" s="17"/>
      <c r="DQ539" s="17"/>
      <c r="DR539" s="17"/>
      <c r="DS539" s="17"/>
      <c r="DT539" s="17"/>
      <c r="DU539" s="17"/>
      <c r="DV539" s="17"/>
      <c r="DW539" s="17"/>
    </row>
    <row r="540" spans="1:127" ht="18" customHeight="1">
      <c r="A540" s="16"/>
      <c r="B540" s="16"/>
      <c r="C540" s="16"/>
      <c r="D540" s="16"/>
      <c r="E540" s="16"/>
      <c r="F540" s="16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  <c r="CY540" s="17"/>
      <c r="CZ540" s="17"/>
      <c r="DA540" s="17"/>
      <c r="DB540" s="17"/>
      <c r="DC540" s="17"/>
      <c r="DD540" s="17"/>
      <c r="DE540" s="17"/>
      <c r="DF540" s="17"/>
      <c r="DG540" s="17"/>
      <c r="DH540" s="17"/>
      <c r="DI540" s="17"/>
      <c r="DJ540" s="17"/>
      <c r="DK540" s="17"/>
      <c r="DL540" s="17"/>
      <c r="DM540" s="17"/>
      <c r="DN540" s="17"/>
      <c r="DO540" s="17"/>
      <c r="DP540" s="17"/>
      <c r="DQ540" s="17"/>
      <c r="DR540" s="17"/>
      <c r="DS540" s="17"/>
      <c r="DT540" s="17"/>
      <c r="DU540" s="17"/>
      <c r="DV540" s="17"/>
      <c r="DW540" s="17"/>
    </row>
    <row r="541" spans="1:127" ht="18" customHeight="1">
      <c r="A541" s="16"/>
      <c r="B541" s="16"/>
      <c r="C541" s="16"/>
      <c r="D541" s="16"/>
      <c r="E541" s="16"/>
      <c r="F541" s="16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  <c r="CY541" s="17"/>
      <c r="CZ541" s="17"/>
      <c r="DA541" s="17"/>
      <c r="DB541" s="17"/>
      <c r="DC541" s="17"/>
      <c r="DD541" s="17"/>
      <c r="DE541" s="17"/>
      <c r="DF541" s="17"/>
      <c r="DG541" s="17"/>
      <c r="DH541" s="17"/>
      <c r="DI541" s="17"/>
      <c r="DJ541" s="17"/>
      <c r="DK541" s="17"/>
      <c r="DL541" s="17"/>
      <c r="DM541" s="17"/>
      <c r="DN541" s="17"/>
      <c r="DO541" s="17"/>
      <c r="DP541" s="17"/>
      <c r="DQ541" s="17"/>
      <c r="DR541" s="17"/>
      <c r="DS541" s="17"/>
      <c r="DT541" s="17"/>
      <c r="DU541" s="17"/>
      <c r="DV541" s="17"/>
      <c r="DW541" s="17"/>
    </row>
    <row r="542" spans="1:127" ht="18" customHeight="1">
      <c r="A542" s="16"/>
      <c r="B542" s="16"/>
      <c r="C542" s="16"/>
      <c r="D542" s="16"/>
      <c r="E542" s="16"/>
      <c r="F542" s="16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7"/>
      <c r="CX542" s="17"/>
      <c r="CY542" s="17"/>
      <c r="CZ542" s="17"/>
      <c r="DA542" s="17"/>
      <c r="DB542" s="17"/>
      <c r="DC542" s="17"/>
      <c r="DD542" s="17"/>
      <c r="DE542" s="17"/>
      <c r="DF542" s="17"/>
      <c r="DG542" s="17"/>
      <c r="DH542" s="17"/>
      <c r="DI542" s="17"/>
      <c r="DJ542" s="17"/>
      <c r="DK542" s="17"/>
      <c r="DL542" s="17"/>
      <c r="DM542" s="17"/>
      <c r="DN542" s="17"/>
      <c r="DO542" s="17"/>
      <c r="DP542" s="17"/>
      <c r="DQ542" s="17"/>
      <c r="DR542" s="17"/>
      <c r="DS542" s="17"/>
      <c r="DT542" s="17"/>
      <c r="DU542" s="17"/>
      <c r="DV542" s="17"/>
      <c r="DW542" s="17"/>
    </row>
    <row r="543" spans="1:127" ht="18" customHeight="1">
      <c r="A543" s="16"/>
      <c r="B543" s="16"/>
      <c r="C543" s="16"/>
      <c r="D543" s="16"/>
      <c r="E543" s="16"/>
      <c r="F543" s="16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  <c r="CY543" s="17"/>
      <c r="CZ543" s="17"/>
      <c r="DA543" s="17"/>
      <c r="DB543" s="17"/>
      <c r="DC543" s="17"/>
      <c r="DD543" s="17"/>
      <c r="DE543" s="17"/>
      <c r="DF543" s="17"/>
      <c r="DG543" s="17"/>
      <c r="DH543" s="17"/>
      <c r="DI543" s="17"/>
      <c r="DJ543" s="17"/>
      <c r="DK543" s="17"/>
      <c r="DL543" s="17"/>
      <c r="DM543" s="17"/>
      <c r="DN543" s="17"/>
      <c r="DO543" s="17"/>
      <c r="DP543" s="17"/>
      <c r="DQ543" s="17"/>
      <c r="DR543" s="17"/>
      <c r="DS543" s="17"/>
      <c r="DT543" s="17"/>
      <c r="DU543" s="17"/>
      <c r="DV543" s="17"/>
      <c r="DW543" s="17"/>
    </row>
    <row r="544" spans="1:127" ht="18" customHeight="1">
      <c r="A544" s="16"/>
      <c r="B544" s="16"/>
      <c r="C544" s="16"/>
      <c r="D544" s="16"/>
      <c r="E544" s="16"/>
      <c r="F544" s="16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  <c r="CY544" s="17"/>
      <c r="CZ544" s="17"/>
      <c r="DA544" s="17"/>
      <c r="DB544" s="17"/>
      <c r="DC544" s="17"/>
      <c r="DD544" s="17"/>
      <c r="DE544" s="17"/>
      <c r="DF544" s="17"/>
      <c r="DG544" s="17"/>
      <c r="DH544" s="17"/>
      <c r="DI544" s="17"/>
      <c r="DJ544" s="17"/>
      <c r="DK544" s="17"/>
      <c r="DL544" s="17"/>
      <c r="DM544" s="17"/>
      <c r="DN544" s="17"/>
      <c r="DO544" s="17"/>
      <c r="DP544" s="17"/>
      <c r="DQ544" s="17"/>
      <c r="DR544" s="17"/>
      <c r="DS544" s="17"/>
      <c r="DT544" s="17"/>
      <c r="DU544" s="17"/>
      <c r="DV544" s="17"/>
      <c r="DW544" s="17"/>
    </row>
    <row r="545" spans="1:127" ht="18" customHeight="1">
      <c r="A545" s="16"/>
      <c r="B545" s="16"/>
      <c r="C545" s="16"/>
      <c r="D545" s="16"/>
      <c r="E545" s="16"/>
      <c r="F545" s="16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  <c r="CY545" s="17"/>
      <c r="CZ545" s="17"/>
      <c r="DA545" s="17"/>
      <c r="DB545" s="17"/>
      <c r="DC545" s="17"/>
      <c r="DD545" s="17"/>
      <c r="DE545" s="17"/>
      <c r="DF545" s="17"/>
      <c r="DG545" s="17"/>
      <c r="DH545" s="17"/>
      <c r="DI545" s="17"/>
      <c r="DJ545" s="17"/>
      <c r="DK545" s="17"/>
      <c r="DL545" s="17"/>
      <c r="DM545" s="17"/>
      <c r="DN545" s="17"/>
      <c r="DO545" s="17"/>
      <c r="DP545" s="17"/>
      <c r="DQ545" s="17"/>
      <c r="DR545" s="17"/>
      <c r="DS545" s="17"/>
      <c r="DT545" s="17"/>
      <c r="DU545" s="17"/>
      <c r="DV545" s="17"/>
      <c r="DW545" s="17"/>
    </row>
    <row r="546" spans="1:127" ht="18" customHeight="1">
      <c r="A546" s="16"/>
      <c r="B546" s="16"/>
      <c r="C546" s="16"/>
      <c r="D546" s="16"/>
      <c r="E546" s="16"/>
      <c r="F546" s="16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7"/>
      <c r="CX546" s="17"/>
      <c r="CY546" s="17"/>
      <c r="CZ546" s="17"/>
      <c r="DA546" s="17"/>
      <c r="DB546" s="17"/>
      <c r="DC546" s="17"/>
      <c r="DD546" s="17"/>
      <c r="DE546" s="17"/>
      <c r="DF546" s="17"/>
      <c r="DG546" s="17"/>
      <c r="DH546" s="17"/>
      <c r="DI546" s="17"/>
      <c r="DJ546" s="17"/>
      <c r="DK546" s="17"/>
      <c r="DL546" s="17"/>
      <c r="DM546" s="17"/>
      <c r="DN546" s="17"/>
      <c r="DO546" s="17"/>
      <c r="DP546" s="17"/>
      <c r="DQ546" s="17"/>
      <c r="DR546" s="17"/>
      <c r="DS546" s="17"/>
      <c r="DT546" s="17"/>
      <c r="DU546" s="17"/>
      <c r="DV546" s="17"/>
      <c r="DW546" s="17"/>
    </row>
    <row r="547" spans="1:127" ht="18" customHeight="1">
      <c r="A547" s="16"/>
      <c r="B547" s="16"/>
      <c r="C547" s="16"/>
      <c r="D547" s="16"/>
      <c r="E547" s="16"/>
      <c r="F547" s="16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  <c r="CY547" s="17"/>
      <c r="CZ547" s="17"/>
      <c r="DA547" s="17"/>
      <c r="DB547" s="17"/>
      <c r="DC547" s="17"/>
      <c r="DD547" s="17"/>
      <c r="DE547" s="17"/>
      <c r="DF547" s="17"/>
      <c r="DG547" s="17"/>
      <c r="DH547" s="17"/>
      <c r="DI547" s="17"/>
      <c r="DJ547" s="17"/>
      <c r="DK547" s="17"/>
      <c r="DL547" s="17"/>
      <c r="DM547" s="17"/>
      <c r="DN547" s="17"/>
      <c r="DO547" s="17"/>
      <c r="DP547" s="17"/>
      <c r="DQ547" s="17"/>
      <c r="DR547" s="17"/>
      <c r="DS547" s="17"/>
      <c r="DT547" s="17"/>
      <c r="DU547" s="17"/>
      <c r="DV547" s="17"/>
      <c r="DW547" s="17"/>
    </row>
    <row r="548" spans="1:127" ht="18" customHeight="1">
      <c r="A548" s="16"/>
      <c r="B548" s="16"/>
      <c r="C548" s="16"/>
      <c r="D548" s="16"/>
      <c r="E548" s="16"/>
      <c r="F548" s="16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  <c r="CY548" s="17"/>
      <c r="CZ548" s="17"/>
      <c r="DA548" s="17"/>
      <c r="DB548" s="17"/>
      <c r="DC548" s="17"/>
      <c r="DD548" s="17"/>
      <c r="DE548" s="17"/>
      <c r="DF548" s="17"/>
      <c r="DG548" s="17"/>
      <c r="DH548" s="17"/>
      <c r="DI548" s="17"/>
      <c r="DJ548" s="17"/>
      <c r="DK548" s="17"/>
      <c r="DL548" s="17"/>
      <c r="DM548" s="17"/>
      <c r="DN548" s="17"/>
      <c r="DO548" s="17"/>
      <c r="DP548" s="17"/>
      <c r="DQ548" s="17"/>
      <c r="DR548" s="17"/>
      <c r="DS548" s="17"/>
      <c r="DT548" s="17"/>
      <c r="DU548" s="17"/>
      <c r="DV548" s="17"/>
      <c r="DW548" s="17"/>
    </row>
    <row r="549" spans="1:127" ht="18" customHeight="1">
      <c r="A549" s="16"/>
      <c r="B549" s="16"/>
      <c r="C549" s="16"/>
      <c r="D549" s="16"/>
      <c r="E549" s="16"/>
      <c r="F549" s="16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  <c r="CZ549" s="17"/>
      <c r="DA549" s="17"/>
      <c r="DB549" s="17"/>
      <c r="DC549" s="17"/>
      <c r="DD549" s="17"/>
      <c r="DE549" s="17"/>
      <c r="DF549" s="17"/>
      <c r="DG549" s="17"/>
      <c r="DH549" s="17"/>
      <c r="DI549" s="17"/>
      <c r="DJ549" s="17"/>
      <c r="DK549" s="17"/>
      <c r="DL549" s="17"/>
      <c r="DM549" s="17"/>
      <c r="DN549" s="17"/>
      <c r="DO549" s="17"/>
      <c r="DP549" s="17"/>
      <c r="DQ549" s="17"/>
      <c r="DR549" s="17"/>
      <c r="DS549" s="17"/>
      <c r="DT549" s="17"/>
      <c r="DU549" s="17"/>
      <c r="DV549" s="17"/>
      <c r="DW549" s="17"/>
    </row>
    <row r="550" spans="1:127" ht="18" customHeight="1">
      <c r="A550" s="16"/>
      <c r="B550" s="16"/>
      <c r="C550" s="16"/>
      <c r="D550" s="16"/>
      <c r="E550" s="16"/>
      <c r="F550" s="16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  <c r="CY550" s="17"/>
      <c r="CZ550" s="17"/>
      <c r="DA550" s="17"/>
      <c r="DB550" s="17"/>
      <c r="DC550" s="17"/>
      <c r="DD550" s="17"/>
      <c r="DE550" s="17"/>
      <c r="DF550" s="17"/>
      <c r="DG550" s="17"/>
      <c r="DH550" s="17"/>
      <c r="DI550" s="17"/>
      <c r="DJ550" s="17"/>
      <c r="DK550" s="17"/>
      <c r="DL550" s="17"/>
      <c r="DM550" s="17"/>
      <c r="DN550" s="17"/>
      <c r="DO550" s="17"/>
      <c r="DP550" s="17"/>
      <c r="DQ550" s="17"/>
      <c r="DR550" s="17"/>
      <c r="DS550" s="17"/>
      <c r="DT550" s="17"/>
      <c r="DU550" s="17"/>
      <c r="DV550" s="17"/>
      <c r="DW550" s="17"/>
    </row>
    <row r="551" spans="1:127" ht="18" customHeight="1">
      <c r="A551" s="16"/>
      <c r="B551" s="16"/>
      <c r="C551" s="16"/>
      <c r="D551" s="16"/>
      <c r="E551" s="16"/>
      <c r="F551" s="16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  <c r="CZ551" s="17"/>
      <c r="DA551" s="17"/>
      <c r="DB551" s="17"/>
      <c r="DC551" s="17"/>
      <c r="DD551" s="17"/>
      <c r="DE551" s="17"/>
      <c r="DF551" s="17"/>
      <c r="DG551" s="17"/>
      <c r="DH551" s="17"/>
      <c r="DI551" s="17"/>
      <c r="DJ551" s="17"/>
      <c r="DK551" s="17"/>
      <c r="DL551" s="17"/>
      <c r="DM551" s="17"/>
      <c r="DN551" s="17"/>
      <c r="DO551" s="17"/>
      <c r="DP551" s="17"/>
      <c r="DQ551" s="17"/>
      <c r="DR551" s="17"/>
      <c r="DS551" s="17"/>
      <c r="DT551" s="17"/>
      <c r="DU551" s="17"/>
      <c r="DV551" s="17"/>
      <c r="DW551" s="17"/>
    </row>
    <row r="552" spans="1:127" ht="18" customHeight="1">
      <c r="A552" s="16"/>
      <c r="B552" s="16"/>
      <c r="C552" s="16"/>
      <c r="D552" s="16"/>
      <c r="E552" s="16"/>
      <c r="F552" s="16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  <c r="CZ552" s="17"/>
      <c r="DA552" s="17"/>
      <c r="DB552" s="17"/>
      <c r="DC552" s="17"/>
      <c r="DD552" s="17"/>
      <c r="DE552" s="17"/>
      <c r="DF552" s="17"/>
      <c r="DG552" s="17"/>
      <c r="DH552" s="17"/>
      <c r="DI552" s="17"/>
      <c r="DJ552" s="17"/>
      <c r="DK552" s="17"/>
      <c r="DL552" s="17"/>
      <c r="DM552" s="17"/>
      <c r="DN552" s="17"/>
      <c r="DO552" s="17"/>
      <c r="DP552" s="17"/>
      <c r="DQ552" s="17"/>
      <c r="DR552" s="17"/>
      <c r="DS552" s="17"/>
      <c r="DT552" s="17"/>
      <c r="DU552" s="17"/>
      <c r="DV552" s="17"/>
      <c r="DW552" s="17"/>
    </row>
    <row r="553" spans="1:127" ht="18" customHeight="1">
      <c r="A553" s="16"/>
      <c r="B553" s="16"/>
      <c r="C553" s="16"/>
      <c r="D553" s="16"/>
      <c r="E553" s="16"/>
      <c r="F553" s="16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  <c r="CZ553" s="17"/>
      <c r="DA553" s="17"/>
      <c r="DB553" s="17"/>
      <c r="DC553" s="17"/>
      <c r="DD553" s="17"/>
      <c r="DE553" s="17"/>
      <c r="DF553" s="17"/>
      <c r="DG553" s="17"/>
      <c r="DH553" s="17"/>
      <c r="DI553" s="17"/>
      <c r="DJ553" s="17"/>
      <c r="DK553" s="17"/>
      <c r="DL553" s="17"/>
      <c r="DM553" s="17"/>
      <c r="DN553" s="17"/>
      <c r="DO553" s="17"/>
      <c r="DP553" s="17"/>
      <c r="DQ553" s="17"/>
      <c r="DR553" s="17"/>
      <c r="DS553" s="17"/>
      <c r="DT553" s="17"/>
      <c r="DU553" s="17"/>
      <c r="DV553" s="17"/>
      <c r="DW553" s="17"/>
    </row>
    <row r="554" spans="1:127" ht="18" customHeight="1">
      <c r="A554" s="16"/>
      <c r="B554" s="16"/>
      <c r="C554" s="16"/>
      <c r="D554" s="16"/>
      <c r="E554" s="16"/>
      <c r="F554" s="16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  <c r="CY554" s="17"/>
      <c r="CZ554" s="17"/>
      <c r="DA554" s="17"/>
      <c r="DB554" s="17"/>
      <c r="DC554" s="17"/>
      <c r="DD554" s="17"/>
      <c r="DE554" s="17"/>
      <c r="DF554" s="17"/>
      <c r="DG554" s="17"/>
      <c r="DH554" s="17"/>
      <c r="DI554" s="17"/>
      <c r="DJ554" s="17"/>
      <c r="DK554" s="17"/>
      <c r="DL554" s="17"/>
      <c r="DM554" s="17"/>
      <c r="DN554" s="17"/>
      <c r="DO554" s="17"/>
      <c r="DP554" s="17"/>
      <c r="DQ554" s="17"/>
      <c r="DR554" s="17"/>
      <c r="DS554" s="17"/>
      <c r="DT554" s="17"/>
      <c r="DU554" s="17"/>
      <c r="DV554" s="17"/>
      <c r="DW554" s="17"/>
    </row>
    <row r="555" spans="1:127" ht="18" customHeight="1">
      <c r="A555" s="16"/>
      <c r="B555" s="16"/>
      <c r="C555" s="16"/>
      <c r="D555" s="16"/>
      <c r="E555" s="16"/>
      <c r="F555" s="16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  <c r="CZ555" s="17"/>
      <c r="DA555" s="17"/>
      <c r="DB555" s="17"/>
      <c r="DC555" s="17"/>
      <c r="DD555" s="17"/>
      <c r="DE555" s="17"/>
      <c r="DF555" s="17"/>
      <c r="DG555" s="17"/>
      <c r="DH555" s="17"/>
      <c r="DI555" s="17"/>
      <c r="DJ555" s="17"/>
      <c r="DK555" s="17"/>
      <c r="DL555" s="17"/>
      <c r="DM555" s="17"/>
      <c r="DN555" s="17"/>
      <c r="DO555" s="17"/>
      <c r="DP555" s="17"/>
      <c r="DQ555" s="17"/>
      <c r="DR555" s="17"/>
      <c r="DS555" s="17"/>
      <c r="DT555" s="17"/>
      <c r="DU555" s="17"/>
      <c r="DV555" s="17"/>
      <c r="DW555" s="17"/>
    </row>
    <row r="556" spans="1:127" ht="18" customHeight="1">
      <c r="A556" s="16"/>
      <c r="B556" s="16"/>
      <c r="C556" s="16"/>
      <c r="D556" s="16"/>
      <c r="E556" s="16"/>
      <c r="F556" s="16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  <c r="CY556" s="17"/>
      <c r="CZ556" s="17"/>
      <c r="DA556" s="17"/>
      <c r="DB556" s="17"/>
      <c r="DC556" s="17"/>
      <c r="DD556" s="17"/>
      <c r="DE556" s="17"/>
      <c r="DF556" s="17"/>
      <c r="DG556" s="17"/>
      <c r="DH556" s="17"/>
      <c r="DI556" s="17"/>
      <c r="DJ556" s="17"/>
      <c r="DK556" s="17"/>
      <c r="DL556" s="17"/>
      <c r="DM556" s="17"/>
      <c r="DN556" s="17"/>
      <c r="DO556" s="17"/>
      <c r="DP556" s="17"/>
      <c r="DQ556" s="17"/>
      <c r="DR556" s="17"/>
      <c r="DS556" s="17"/>
      <c r="DT556" s="17"/>
      <c r="DU556" s="17"/>
      <c r="DV556" s="17"/>
      <c r="DW556" s="17"/>
    </row>
    <row r="557" spans="1:127" ht="18" customHeight="1">
      <c r="A557" s="16"/>
      <c r="B557" s="16"/>
      <c r="C557" s="16"/>
      <c r="D557" s="16"/>
      <c r="E557" s="16"/>
      <c r="F557" s="16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  <c r="CZ557" s="17"/>
      <c r="DA557" s="17"/>
      <c r="DB557" s="17"/>
      <c r="DC557" s="17"/>
      <c r="DD557" s="17"/>
      <c r="DE557" s="17"/>
      <c r="DF557" s="17"/>
      <c r="DG557" s="17"/>
      <c r="DH557" s="17"/>
      <c r="DI557" s="17"/>
      <c r="DJ557" s="17"/>
      <c r="DK557" s="17"/>
      <c r="DL557" s="17"/>
      <c r="DM557" s="17"/>
      <c r="DN557" s="17"/>
      <c r="DO557" s="17"/>
      <c r="DP557" s="17"/>
      <c r="DQ557" s="17"/>
      <c r="DR557" s="17"/>
      <c r="DS557" s="17"/>
      <c r="DT557" s="17"/>
      <c r="DU557" s="17"/>
      <c r="DV557" s="17"/>
      <c r="DW557" s="17"/>
    </row>
    <row r="558" spans="1:127" ht="18" customHeight="1">
      <c r="A558" s="16"/>
      <c r="B558" s="16"/>
      <c r="C558" s="16"/>
      <c r="D558" s="16"/>
      <c r="E558" s="16"/>
      <c r="F558" s="16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  <c r="CY558" s="17"/>
      <c r="CZ558" s="17"/>
      <c r="DA558" s="17"/>
      <c r="DB558" s="17"/>
      <c r="DC558" s="17"/>
      <c r="DD558" s="17"/>
      <c r="DE558" s="17"/>
      <c r="DF558" s="17"/>
      <c r="DG558" s="17"/>
      <c r="DH558" s="17"/>
      <c r="DI558" s="17"/>
      <c r="DJ558" s="17"/>
      <c r="DK558" s="17"/>
      <c r="DL558" s="17"/>
      <c r="DM558" s="17"/>
      <c r="DN558" s="17"/>
      <c r="DO558" s="17"/>
      <c r="DP558" s="17"/>
      <c r="DQ558" s="17"/>
      <c r="DR558" s="17"/>
      <c r="DS558" s="17"/>
      <c r="DT558" s="17"/>
      <c r="DU558" s="17"/>
      <c r="DV558" s="17"/>
      <c r="DW558" s="17"/>
    </row>
    <row r="559" spans="1:127" ht="18" customHeight="1">
      <c r="A559" s="16"/>
      <c r="B559" s="16"/>
      <c r="C559" s="16"/>
      <c r="D559" s="16"/>
      <c r="E559" s="16"/>
      <c r="F559" s="16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  <c r="CZ559" s="17"/>
      <c r="DA559" s="17"/>
      <c r="DB559" s="17"/>
      <c r="DC559" s="17"/>
      <c r="DD559" s="17"/>
      <c r="DE559" s="17"/>
      <c r="DF559" s="17"/>
      <c r="DG559" s="17"/>
      <c r="DH559" s="17"/>
      <c r="DI559" s="17"/>
      <c r="DJ559" s="17"/>
      <c r="DK559" s="17"/>
      <c r="DL559" s="17"/>
      <c r="DM559" s="17"/>
      <c r="DN559" s="17"/>
      <c r="DO559" s="17"/>
      <c r="DP559" s="17"/>
      <c r="DQ559" s="17"/>
      <c r="DR559" s="17"/>
      <c r="DS559" s="17"/>
      <c r="DT559" s="17"/>
      <c r="DU559" s="17"/>
      <c r="DV559" s="17"/>
      <c r="DW559" s="17"/>
    </row>
    <row r="560" spans="1:127" ht="18" customHeight="1">
      <c r="A560" s="16"/>
      <c r="B560" s="16"/>
      <c r="C560" s="16"/>
      <c r="D560" s="16"/>
      <c r="E560" s="16"/>
      <c r="F560" s="16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  <c r="CY560" s="17"/>
      <c r="CZ560" s="17"/>
      <c r="DA560" s="17"/>
      <c r="DB560" s="17"/>
      <c r="DC560" s="17"/>
      <c r="DD560" s="17"/>
      <c r="DE560" s="17"/>
      <c r="DF560" s="17"/>
      <c r="DG560" s="17"/>
      <c r="DH560" s="17"/>
      <c r="DI560" s="17"/>
      <c r="DJ560" s="17"/>
      <c r="DK560" s="17"/>
      <c r="DL560" s="17"/>
      <c r="DM560" s="17"/>
      <c r="DN560" s="17"/>
      <c r="DO560" s="17"/>
      <c r="DP560" s="17"/>
      <c r="DQ560" s="17"/>
      <c r="DR560" s="17"/>
      <c r="DS560" s="17"/>
      <c r="DT560" s="17"/>
      <c r="DU560" s="17"/>
      <c r="DV560" s="17"/>
      <c r="DW560" s="17"/>
    </row>
    <row r="561" spans="1:127" ht="18" customHeight="1">
      <c r="A561" s="16"/>
      <c r="B561" s="16"/>
      <c r="C561" s="16"/>
      <c r="D561" s="16"/>
      <c r="E561" s="16"/>
      <c r="F561" s="16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  <c r="CY561" s="17"/>
      <c r="CZ561" s="17"/>
      <c r="DA561" s="17"/>
      <c r="DB561" s="17"/>
      <c r="DC561" s="17"/>
      <c r="DD561" s="17"/>
      <c r="DE561" s="17"/>
      <c r="DF561" s="17"/>
      <c r="DG561" s="17"/>
      <c r="DH561" s="17"/>
      <c r="DI561" s="17"/>
      <c r="DJ561" s="17"/>
      <c r="DK561" s="17"/>
      <c r="DL561" s="17"/>
      <c r="DM561" s="17"/>
      <c r="DN561" s="17"/>
      <c r="DO561" s="17"/>
      <c r="DP561" s="17"/>
      <c r="DQ561" s="17"/>
      <c r="DR561" s="17"/>
      <c r="DS561" s="17"/>
      <c r="DT561" s="17"/>
      <c r="DU561" s="17"/>
      <c r="DV561" s="17"/>
      <c r="DW561" s="17"/>
    </row>
    <row r="562" spans="1:127" ht="18" customHeight="1">
      <c r="A562" s="16"/>
      <c r="B562" s="16"/>
      <c r="C562" s="16"/>
      <c r="D562" s="16"/>
      <c r="E562" s="16"/>
      <c r="F562" s="16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  <c r="CY562" s="17"/>
      <c r="CZ562" s="17"/>
      <c r="DA562" s="17"/>
      <c r="DB562" s="17"/>
      <c r="DC562" s="17"/>
      <c r="DD562" s="17"/>
      <c r="DE562" s="17"/>
      <c r="DF562" s="17"/>
      <c r="DG562" s="17"/>
      <c r="DH562" s="17"/>
      <c r="DI562" s="17"/>
      <c r="DJ562" s="17"/>
      <c r="DK562" s="17"/>
      <c r="DL562" s="17"/>
      <c r="DM562" s="17"/>
      <c r="DN562" s="17"/>
      <c r="DO562" s="17"/>
      <c r="DP562" s="17"/>
      <c r="DQ562" s="17"/>
      <c r="DR562" s="17"/>
      <c r="DS562" s="17"/>
      <c r="DT562" s="17"/>
      <c r="DU562" s="17"/>
      <c r="DV562" s="17"/>
      <c r="DW562" s="17"/>
    </row>
    <row r="563" spans="1:127" ht="18" customHeight="1">
      <c r="A563" s="16"/>
      <c r="B563" s="16"/>
      <c r="C563" s="16"/>
      <c r="D563" s="16"/>
      <c r="E563" s="16"/>
      <c r="F563" s="16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  <c r="CZ563" s="17"/>
      <c r="DA563" s="17"/>
      <c r="DB563" s="17"/>
      <c r="DC563" s="17"/>
      <c r="DD563" s="17"/>
      <c r="DE563" s="17"/>
      <c r="DF563" s="17"/>
      <c r="DG563" s="17"/>
      <c r="DH563" s="17"/>
      <c r="DI563" s="17"/>
      <c r="DJ563" s="17"/>
      <c r="DK563" s="17"/>
      <c r="DL563" s="17"/>
      <c r="DM563" s="17"/>
      <c r="DN563" s="17"/>
      <c r="DO563" s="17"/>
      <c r="DP563" s="17"/>
      <c r="DQ563" s="17"/>
      <c r="DR563" s="17"/>
      <c r="DS563" s="17"/>
      <c r="DT563" s="17"/>
      <c r="DU563" s="17"/>
      <c r="DV563" s="17"/>
      <c r="DW563" s="17"/>
    </row>
    <row r="564" spans="1:127" ht="18" customHeight="1">
      <c r="A564" s="16"/>
      <c r="B564" s="16"/>
      <c r="C564" s="16"/>
      <c r="D564" s="16"/>
      <c r="E564" s="16"/>
      <c r="F564" s="16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  <c r="CY564" s="17"/>
      <c r="CZ564" s="17"/>
      <c r="DA564" s="17"/>
      <c r="DB564" s="17"/>
      <c r="DC564" s="17"/>
      <c r="DD564" s="17"/>
      <c r="DE564" s="17"/>
      <c r="DF564" s="17"/>
      <c r="DG564" s="17"/>
      <c r="DH564" s="17"/>
      <c r="DI564" s="17"/>
      <c r="DJ564" s="17"/>
      <c r="DK564" s="17"/>
      <c r="DL564" s="17"/>
      <c r="DM564" s="17"/>
      <c r="DN564" s="17"/>
      <c r="DO564" s="17"/>
      <c r="DP564" s="17"/>
      <c r="DQ564" s="17"/>
      <c r="DR564" s="17"/>
      <c r="DS564" s="17"/>
      <c r="DT564" s="17"/>
      <c r="DU564" s="17"/>
      <c r="DV564" s="17"/>
      <c r="DW564" s="17"/>
    </row>
    <row r="565" spans="1:127" ht="18" customHeight="1">
      <c r="A565" s="16"/>
      <c r="B565" s="16"/>
      <c r="C565" s="16"/>
      <c r="D565" s="16"/>
      <c r="E565" s="16"/>
      <c r="F565" s="16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  <c r="CZ565" s="17"/>
      <c r="DA565" s="17"/>
      <c r="DB565" s="17"/>
      <c r="DC565" s="17"/>
      <c r="DD565" s="17"/>
      <c r="DE565" s="17"/>
      <c r="DF565" s="17"/>
      <c r="DG565" s="17"/>
      <c r="DH565" s="17"/>
      <c r="DI565" s="17"/>
      <c r="DJ565" s="17"/>
      <c r="DK565" s="17"/>
      <c r="DL565" s="17"/>
      <c r="DM565" s="17"/>
      <c r="DN565" s="17"/>
      <c r="DO565" s="17"/>
      <c r="DP565" s="17"/>
      <c r="DQ565" s="17"/>
      <c r="DR565" s="17"/>
      <c r="DS565" s="17"/>
      <c r="DT565" s="17"/>
      <c r="DU565" s="17"/>
      <c r="DV565" s="17"/>
      <c r="DW565" s="17"/>
    </row>
    <row r="566" spans="1:127" ht="18" customHeight="1">
      <c r="A566" s="16"/>
      <c r="B566" s="16"/>
      <c r="C566" s="16"/>
      <c r="D566" s="16"/>
      <c r="E566" s="16"/>
      <c r="F566" s="16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  <c r="CY566" s="17"/>
      <c r="CZ566" s="17"/>
      <c r="DA566" s="17"/>
      <c r="DB566" s="17"/>
      <c r="DC566" s="17"/>
      <c r="DD566" s="17"/>
      <c r="DE566" s="17"/>
      <c r="DF566" s="17"/>
      <c r="DG566" s="17"/>
      <c r="DH566" s="17"/>
      <c r="DI566" s="17"/>
      <c r="DJ566" s="17"/>
      <c r="DK566" s="17"/>
      <c r="DL566" s="17"/>
      <c r="DM566" s="17"/>
      <c r="DN566" s="17"/>
      <c r="DO566" s="17"/>
      <c r="DP566" s="17"/>
      <c r="DQ566" s="17"/>
      <c r="DR566" s="17"/>
      <c r="DS566" s="17"/>
      <c r="DT566" s="17"/>
      <c r="DU566" s="17"/>
      <c r="DV566" s="17"/>
      <c r="DW566" s="17"/>
    </row>
    <row r="567" spans="1:127" ht="18" customHeight="1">
      <c r="A567" s="16"/>
      <c r="B567" s="16"/>
      <c r="C567" s="16"/>
      <c r="D567" s="16"/>
      <c r="E567" s="16"/>
      <c r="F567" s="16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  <c r="CZ567" s="17"/>
      <c r="DA567" s="17"/>
      <c r="DB567" s="17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  <c r="DM567" s="17"/>
      <c r="DN567" s="17"/>
      <c r="DO567" s="17"/>
      <c r="DP567" s="17"/>
      <c r="DQ567" s="17"/>
      <c r="DR567" s="17"/>
      <c r="DS567" s="17"/>
      <c r="DT567" s="17"/>
      <c r="DU567" s="17"/>
      <c r="DV567" s="17"/>
      <c r="DW567" s="17"/>
    </row>
    <row r="568" spans="1:127" ht="18" customHeight="1">
      <c r="A568" s="16"/>
      <c r="B568" s="16"/>
      <c r="C568" s="16"/>
      <c r="D568" s="16"/>
      <c r="E568" s="16"/>
      <c r="F568" s="16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  <c r="CZ568" s="17"/>
      <c r="DA568" s="17"/>
      <c r="DB568" s="17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  <c r="DM568" s="17"/>
      <c r="DN568" s="17"/>
      <c r="DO568" s="17"/>
      <c r="DP568" s="17"/>
      <c r="DQ568" s="17"/>
      <c r="DR568" s="17"/>
      <c r="DS568" s="17"/>
      <c r="DT568" s="17"/>
      <c r="DU568" s="17"/>
      <c r="DV568" s="17"/>
      <c r="DW568" s="17"/>
    </row>
    <row r="569" spans="1:127" ht="18" customHeight="1">
      <c r="A569" s="16"/>
      <c r="B569" s="16"/>
      <c r="C569" s="16"/>
      <c r="D569" s="16"/>
      <c r="E569" s="16"/>
      <c r="F569" s="16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  <c r="CZ569" s="17"/>
      <c r="DA569" s="17"/>
      <c r="DB569" s="17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  <c r="DM569" s="17"/>
      <c r="DN569" s="17"/>
      <c r="DO569" s="17"/>
      <c r="DP569" s="17"/>
      <c r="DQ569" s="17"/>
      <c r="DR569" s="17"/>
      <c r="DS569" s="17"/>
      <c r="DT569" s="17"/>
      <c r="DU569" s="17"/>
      <c r="DV569" s="17"/>
      <c r="DW569" s="17"/>
    </row>
    <row r="570" spans="1:127" ht="18" customHeight="1">
      <c r="A570" s="16"/>
      <c r="B570" s="16"/>
      <c r="C570" s="16"/>
      <c r="D570" s="16"/>
      <c r="E570" s="16"/>
      <c r="F570" s="16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  <c r="CZ570" s="17"/>
      <c r="DA570" s="17"/>
      <c r="DB570" s="17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  <c r="DM570" s="17"/>
      <c r="DN570" s="17"/>
      <c r="DO570" s="17"/>
      <c r="DP570" s="17"/>
      <c r="DQ570" s="17"/>
      <c r="DR570" s="17"/>
      <c r="DS570" s="17"/>
      <c r="DT570" s="17"/>
      <c r="DU570" s="17"/>
      <c r="DV570" s="17"/>
      <c r="DW570" s="17"/>
    </row>
    <row r="571" spans="1:127" ht="18" customHeight="1">
      <c r="A571" s="16"/>
      <c r="B571" s="16"/>
      <c r="C571" s="16"/>
      <c r="D571" s="16"/>
      <c r="E571" s="16"/>
      <c r="F571" s="16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  <c r="CZ571" s="17"/>
      <c r="DA571" s="17"/>
      <c r="DB571" s="17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  <c r="DM571" s="17"/>
      <c r="DN571" s="17"/>
      <c r="DO571" s="17"/>
      <c r="DP571" s="17"/>
      <c r="DQ571" s="17"/>
      <c r="DR571" s="17"/>
      <c r="DS571" s="17"/>
      <c r="DT571" s="17"/>
      <c r="DU571" s="17"/>
      <c r="DV571" s="17"/>
      <c r="DW571" s="17"/>
    </row>
    <row r="572" spans="1:127" ht="18" customHeight="1">
      <c r="A572" s="16"/>
      <c r="B572" s="16"/>
      <c r="C572" s="16"/>
      <c r="D572" s="16"/>
      <c r="E572" s="16"/>
      <c r="F572" s="16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  <c r="CZ572" s="17"/>
      <c r="DA572" s="17"/>
      <c r="DB572" s="17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  <c r="DM572" s="17"/>
      <c r="DN572" s="17"/>
      <c r="DO572" s="17"/>
      <c r="DP572" s="17"/>
      <c r="DQ572" s="17"/>
      <c r="DR572" s="17"/>
      <c r="DS572" s="17"/>
      <c r="DT572" s="17"/>
      <c r="DU572" s="17"/>
      <c r="DV572" s="17"/>
      <c r="DW572" s="17"/>
    </row>
    <row r="573" spans="1:127" ht="18" customHeight="1">
      <c r="A573" s="16"/>
      <c r="B573" s="16"/>
      <c r="C573" s="16"/>
      <c r="D573" s="16"/>
      <c r="E573" s="16"/>
      <c r="F573" s="16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  <c r="CZ573" s="17"/>
      <c r="DA573" s="17"/>
      <c r="DB573" s="17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  <c r="DM573" s="17"/>
      <c r="DN573" s="17"/>
      <c r="DO573" s="17"/>
      <c r="DP573" s="17"/>
      <c r="DQ573" s="17"/>
      <c r="DR573" s="17"/>
      <c r="DS573" s="17"/>
      <c r="DT573" s="17"/>
      <c r="DU573" s="17"/>
      <c r="DV573" s="17"/>
      <c r="DW573" s="17"/>
    </row>
    <row r="574" spans="1:127" ht="18" customHeight="1">
      <c r="A574" s="16"/>
      <c r="B574" s="16"/>
      <c r="C574" s="16"/>
      <c r="D574" s="16"/>
      <c r="E574" s="16"/>
      <c r="F574" s="16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  <c r="CZ574" s="17"/>
      <c r="DA574" s="17"/>
      <c r="DB574" s="17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  <c r="DM574" s="17"/>
      <c r="DN574" s="17"/>
      <c r="DO574" s="17"/>
      <c r="DP574" s="17"/>
      <c r="DQ574" s="17"/>
      <c r="DR574" s="17"/>
      <c r="DS574" s="17"/>
      <c r="DT574" s="17"/>
      <c r="DU574" s="17"/>
      <c r="DV574" s="17"/>
      <c r="DW574" s="17"/>
    </row>
    <row r="575" spans="1:127" ht="18" customHeight="1">
      <c r="A575" s="16"/>
      <c r="B575" s="16"/>
      <c r="C575" s="16"/>
      <c r="D575" s="16"/>
      <c r="E575" s="16"/>
      <c r="F575" s="16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  <c r="CZ575" s="17"/>
      <c r="DA575" s="17"/>
      <c r="DB575" s="17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  <c r="DM575" s="17"/>
      <c r="DN575" s="17"/>
      <c r="DO575" s="17"/>
      <c r="DP575" s="17"/>
      <c r="DQ575" s="17"/>
      <c r="DR575" s="17"/>
      <c r="DS575" s="17"/>
      <c r="DT575" s="17"/>
      <c r="DU575" s="17"/>
      <c r="DV575" s="17"/>
      <c r="DW575" s="17"/>
    </row>
    <row r="576" spans="1:127" ht="18" customHeight="1">
      <c r="A576" s="16"/>
      <c r="B576" s="16"/>
      <c r="C576" s="16"/>
      <c r="D576" s="16"/>
      <c r="E576" s="16"/>
      <c r="F576" s="16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  <c r="DM576" s="17"/>
      <c r="DN576" s="17"/>
      <c r="DO576" s="17"/>
      <c r="DP576" s="17"/>
      <c r="DQ576" s="17"/>
      <c r="DR576" s="17"/>
      <c r="DS576" s="17"/>
      <c r="DT576" s="17"/>
      <c r="DU576" s="17"/>
      <c r="DV576" s="17"/>
      <c r="DW576" s="17"/>
    </row>
    <row r="577" spans="1:127" ht="18" customHeight="1">
      <c r="A577" s="16"/>
      <c r="B577" s="16"/>
      <c r="C577" s="16"/>
      <c r="D577" s="16"/>
      <c r="E577" s="16"/>
      <c r="F577" s="16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  <c r="CZ577" s="17"/>
      <c r="DA577" s="17"/>
      <c r="DB577" s="17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  <c r="DM577" s="17"/>
      <c r="DN577" s="17"/>
      <c r="DO577" s="17"/>
      <c r="DP577" s="17"/>
      <c r="DQ577" s="17"/>
      <c r="DR577" s="17"/>
      <c r="DS577" s="17"/>
      <c r="DT577" s="17"/>
      <c r="DU577" s="17"/>
      <c r="DV577" s="17"/>
      <c r="DW577" s="17"/>
    </row>
    <row r="578" spans="1:127" ht="18" customHeight="1">
      <c r="A578" s="16"/>
      <c r="B578" s="16"/>
      <c r="C578" s="16"/>
      <c r="D578" s="16"/>
      <c r="E578" s="16"/>
      <c r="F578" s="16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  <c r="CZ578" s="17"/>
      <c r="DA578" s="17"/>
      <c r="DB578" s="17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  <c r="DM578" s="17"/>
      <c r="DN578" s="17"/>
      <c r="DO578" s="17"/>
      <c r="DP578" s="17"/>
      <c r="DQ578" s="17"/>
      <c r="DR578" s="17"/>
      <c r="DS578" s="17"/>
      <c r="DT578" s="17"/>
      <c r="DU578" s="17"/>
      <c r="DV578" s="17"/>
      <c r="DW578" s="17"/>
    </row>
    <row r="579" spans="1:127" ht="18" customHeight="1">
      <c r="A579" s="16"/>
      <c r="B579" s="16"/>
      <c r="C579" s="16"/>
      <c r="D579" s="16"/>
      <c r="E579" s="16"/>
      <c r="F579" s="16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  <c r="CY579" s="17"/>
      <c r="CZ579" s="17"/>
      <c r="DA579" s="17"/>
      <c r="DB579" s="17"/>
      <c r="DC579" s="17"/>
      <c r="DD579" s="17"/>
      <c r="DE579" s="17"/>
      <c r="DF579" s="17"/>
      <c r="DG579" s="17"/>
      <c r="DH579" s="17"/>
      <c r="DI579" s="17"/>
      <c r="DJ579" s="17"/>
      <c r="DK579" s="17"/>
      <c r="DL579" s="17"/>
      <c r="DM579" s="17"/>
      <c r="DN579" s="17"/>
      <c r="DO579" s="17"/>
      <c r="DP579" s="17"/>
      <c r="DQ579" s="17"/>
      <c r="DR579" s="17"/>
      <c r="DS579" s="17"/>
      <c r="DT579" s="17"/>
      <c r="DU579" s="17"/>
      <c r="DV579" s="17"/>
      <c r="DW579" s="17"/>
    </row>
    <row r="580" spans="1:127" ht="18" customHeight="1">
      <c r="A580" s="16"/>
      <c r="B580" s="16"/>
      <c r="C580" s="16"/>
      <c r="D580" s="16"/>
      <c r="E580" s="16"/>
      <c r="F580" s="16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  <c r="CZ580" s="17"/>
      <c r="DA580" s="17"/>
      <c r="DB580" s="17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  <c r="DM580" s="17"/>
      <c r="DN580" s="17"/>
      <c r="DO580" s="17"/>
      <c r="DP580" s="17"/>
      <c r="DQ580" s="17"/>
      <c r="DR580" s="17"/>
      <c r="DS580" s="17"/>
      <c r="DT580" s="17"/>
      <c r="DU580" s="17"/>
      <c r="DV580" s="17"/>
      <c r="DW580" s="17"/>
    </row>
    <row r="581" spans="1:127" ht="18" customHeight="1">
      <c r="A581" s="16"/>
      <c r="B581" s="16"/>
      <c r="C581" s="16"/>
      <c r="D581" s="16"/>
      <c r="E581" s="16"/>
      <c r="F581" s="16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  <c r="CZ581" s="17"/>
      <c r="DA581" s="17"/>
      <c r="DB581" s="17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  <c r="DM581" s="17"/>
      <c r="DN581" s="17"/>
      <c r="DO581" s="17"/>
      <c r="DP581" s="17"/>
      <c r="DQ581" s="17"/>
      <c r="DR581" s="17"/>
      <c r="DS581" s="17"/>
      <c r="DT581" s="17"/>
      <c r="DU581" s="17"/>
      <c r="DV581" s="17"/>
      <c r="DW581" s="17"/>
    </row>
    <row r="582" spans="1:127" ht="18" customHeight="1">
      <c r="A582" s="16"/>
      <c r="B582" s="16"/>
      <c r="C582" s="16"/>
      <c r="D582" s="16"/>
      <c r="E582" s="16"/>
      <c r="F582" s="16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  <c r="CZ582" s="17"/>
      <c r="DA582" s="17"/>
      <c r="DB582" s="17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  <c r="DM582" s="17"/>
      <c r="DN582" s="17"/>
      <c r="DO582" s="17"/>
      <c r="DP582" s="17"/>
      <c r="DQ582" s="17"/>
      <c r="DR582" s="17"/>
      <c r="DS582" s="17"/>
      <c r="DT582" s="17"/>
      <c r="DU582" s="17"/>
      <c r="DV582" s="17"/>
      <c r="DW582" s="17"/>
    </row>
    <row r="583" spans="1:127" ht="18" customHeight="1">
      <c r="A583" s="16"/>
      <c r="B583" s="16"/>
      <c r="C583" s="16"/>
      <c r="D583" s="16"/>
      <c r="E583" s="16"/>
      <c r="F583" s="16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  <c r="CZ583" s="17"/>
      <c r="DA583" s="17"/>
      <c r="DB583" s="17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  <c r="DM583" s="17"/>
      <c r="DN583" s="17"/>
      <c r="DO583" s="17"/>
      <c r="DP583" s="17"/>
      <c r="DQ583" s="17"/>
      <c r="DR583" s="17"/>
      <c r="DS583" s="17"/>
      <c r="DT583" s="17"/>
      <c r="DU583" s="17"/>
      <c r="DV583" s="17"/>
      <c r="DW583" s="17"/>
    </row>
    <row r="584" spans="1:127" ht="18" customHeight="1">
      <c r="A584" s="16"/>
      <c r="B584" s="16"/>
      <c r="C584" s="16"/>
      <c r="D584" s="16"/>
      <c r="E584" s="16"/>
      <c r="F584" s="16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  <c r="CZ584" s="17"/>
      <c r="DA584" s="17"/>
      <c r="DB584" s="17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  <c r="DM584" s="17"/>
      <c r="DN584" s="17"/>
      <c r="DO584" s="17"/>
      <c r="DP584" s="17"/>
      <c r="DQ584" s="17"/>
      <c r="DR584" s="17"/>
      <c r="DS584" s="17"/>
      <c r="DT584" s="17"/>
      <c r="DU584" s="17"/>
      <c r="DV584" s="17"/>
      <c r="DW584" s="17"/>
    </row>
    <row r="585" spans="1:127" ht="18" customHeight="1">
      <c r="A585" s="16"/>
      <c r="B585" s="16"/>
      <c r="C585" s="16"/>
      <c r="D585" s="16"/>
      <c r="E585" s="16"/>
      <c r="F585" s="16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  <c r="CY585" s="17"/>
      <c r="CZ585" s="17"/>
      <c r="DA585" s="17"/>
      <c r="DB585" s="17"/>
      <c r="DC585" s="17"/>
      <c r="DD585" s="17"/>
      <c r="DE585" s="17"/>
      <c r="DF585" s="17"/>
      <c r="DG585" s="17"/>
      <c r="DH585" s="17"/>
      <c r="DI585" s="17"/>
      <c r="DJ585" s="17"/>
      <c r="DK585" s="17"/>
      <c r="DL585" s="17"/>
      <c r="DM585" s="17"/>
      <c r="DN585" s="17"/>
      <c r="DO585" s="17"/>
      <c r="DP585" s="17"/>
      <c r="DQ585" s="17"/>
      <c r="DR585" s="17"/>
      <c r="DS585" s="17"/>
      <c r="DT585" s="17"/>
      <c r="DU585" s="17"/>
      <c r="DV585" s="17"/>
      <c r="DW585" s="17"/>
    </row>
    <row r="586" spans="1:127" ht="18" customHeight="1">
      <c r="A586" s="16"/>
      <c r="B586" s="16"/>
      <c r="C586" s="16"/>
      <c r="D586" s="16"/>
      <c r="E586" s="16"/>
      <c r="F586" s="16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  <c r="CY586" s="17"/>
      <c r="CZ586" s="17"/>
      <c r="DA586" s="17"/>
      <c r="DB586" s="17"/>
      <c r="DC586" s="17"/>
      <c r="DD586" s="17"/>
      <c r="DE586" s="17"/>
      <c r="DF586" s="17"/>
      <c r="DG586" s="17"/>
      <c r="DH586" s="17"/>
      <c r="DI586" s="17"/>
      <c r="DJ586" s="17"/>
      <c r="DK586" s="17"/>
      <c r="DL586" s="17"/>
      <c r="DM586" s="17"/>
      <c r="DN586" s="17"/>
      <c r="DO586" s="17"/>
      <c r="DP586" s="17"/>
      <c r="DQ586" s="17"/>
      <c r="DR586" s="17"/>
      <c r="DS586" s="17"/>
      <c r="DT586" s="17"/>
      <c r="DU586" s="17"/>
      <c r="DV586" s="17"/>
      <c r="DW586" s="17"/>
    </row>
    <row r="587" spans="1:127" ht="18" customHeight="1">
      <c r="A587" s="16"/>
      <c r="B587" s="16"/>
      <c r="C587" s="16"/>
      <c r="D587" s="16"/>
      <c r="E587" s="16"/>
      <c r="F587" s="16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  <c r="CY587" s="17"/>
      <c r="CZ587" s="17"/>
      <c r="DA587" s="17"/>
      <c r="DB587" s="17"/>
      <c r="DC587" s="17"/>
      <c r="DD587" s="17"/>
      <c r="DE587" s="17"/>
      <c r="DF587" s="17"/>
      <c r="DG587" s="17"/>
      <c r="DH587" s="17"/>
      <c r="DI587" s="17"/>
      <c r="DJ587" s="17"/>
      <c r="DK587" s="17"/>
      <c r="DL587" s="17"/>
      <c r="DM587" s="17"/>
      <c r="DN587" s="17"/>
      <c r="DO587" s="17"/>
      <c r="DP587" s="17"/>
      <c r="DQ587" s="17"/>
      <c r="DR587" s="17"/>
      <c r="DS587" s="17"/>
      <c r="DT587" s="17"/>
      <c r="DU587" s="17"/>
      <c r="DV587" s="17"/>
      <c r="DW587" s="17"/>
    </row>
    <row r="588" spans="1:127" ht="18" customHeight="1">
      <c r="A588" s="16"/>
      <c r="B588" s="16"/>
      <c r="C588" s="16"/>
      <c r="D588" s="16"/>
      <c r="E588" s="16"/>
      <c r="F588" s="16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  <c r="CZ588" s="17"/>
      <c r="DA588" s="17"/>
      <c r="DB588" s="17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  <c r="DM588" s="17"/>
      <c r="DN588" s="17"/>
      <c r="DO588" s="17"/>
      <c r="DP588" s="17"/>
      <c r="DQ588" s="17"/>
      <c r="DR588" s="17"/>
      <c r="DS588" s="17"/>
      <c r="DT588" s="17"/>
      <c r="DU588" s="17"/>
      <c r="DV588" s="17"/>
      <c r="DW588" s="17"/>
    </row>
    <row r="589" spans="1:127" ht="18" customHeight="1">
      <c r="A589" s="16"/>
      <c r="B589" s="16"/>
      <c r="C589" s="16"/>
      <c r="D589" s="16"/>
      <c r="E589" s="16"/>
      <c r="F589" s="16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  <c r="CZ589" s="17"/>
      <c r="DA589" s="17"/>
      <c r="DB589" s="17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  <c r="DM589" s="17"/>
      <c r="DN589" s="17"/>
      <c r="DO589" s="17"/>
      <c r="DP589" s="17"/>
      <c r="DQ589" s="17"/>
      <c r="DR589" s="17"/>
      <c r="DS589" s="17"/>
      <c r="DT589" s="17"/>
      <c r="DU589" s="17"/>
      <c r="DV589" s="17"/>
      <c r="DW589" s="17"/>
    </row>
    <row r="590" spans="1:127" ht="18" customHeight="1">
      <c r="A590" s="16"/>
      <c r="B590" s="16"/>
      <c r="C590" s="16"/>
      <c r="D590" s="16"/>
      <c r="E590" s="16"/>
      <c r="F590" s="16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  <c r="CY590" s="17"/>
      <c r="CZ590" s="17"/>
      <c r="DA590" s="17"/>
      <c r="DB590" s="17"/>
      <c r="DC590" s="17"/>
      <c r="DD590" s="17"/>
      <c r="DE590" s="17"/>
      <c r="DF590" s="17"/>
      <c r="DG590" s="17"/>
      <c r="DH590" s="17"/>
      <c r="DI590" s="17"/>
      <c r="DJ590" s="17"/>
      <c r="DK590" s="17"/>
      <c r="DL590" s="17"/>
      <c r="DM590" s="17"/>
      <c r="DN590" s="17"/>
      <c r="DO590" s="17"/>
      <c r="DP590" s="17"/>
      <c r="DQ590" s="17"/>
      <c r="DR590" s="17"/>
      <c r="DS590" s="17"/>
      <c r="DT590" s="17"/>
      <c r="DU590" s="17"/>
      <c r="DV590" s="17"/>
      <c r="DW590" s="17"/>
    </row>
    <row r="591" spans="1:127" ht="18" customHeight="1">
      <c r="A591" s="16"/>
      <c r="B591" s="16"/>
      <c r="C591" s="16"/>
      <c r="D591" s="16"/>
      <c r="E591" s="16"/>
      <c r="F591" s="16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  <c r="CZ591" s="17"/>
      <c r="DA591" s="17"/>
      <c r="DB591" s="17"/>
      <c r="DC591" s="17"/>
      <c r="DD591" s="17"/>
      <c r="DE591" s="17"/>
      <c r="DF591" s="17"/>
      <c r="DG591" s="17"/>
      <c r="DH591" s="17"/>
      <c r="DI591" s="17"/>
      <c r="DJ591" s="17"/>
      <c r="DK591" s="17"/>
      <c r="DL591" s="17"/>
      <c r="DM591" s="17"/>
      <c r="DN591" s="17"/>
      <c r="DO591" s="17"/>
      <c r="DP591" s="17"/>
      <c r="DQ591" s="17"/>
      <c r="DR591" s="17"/>
      <c r="DS591" s="17"/>
      <c r="DT591" s="17"/>
      <c r="DU591" s="17"/>
      <c r="DV591" s="17"/>
      <c r="DW591" s="17"/>
    </row>
    <row r="592" spans="1:127" ht="18" customHeight="1">
      <c r="A592" s="16"/>
      <c r="B592" s="16"/>
      <c r="C592" s="16"/>
      <c r="D592" s="16"/>
      <c r="E592" s="16"/>
      <c r="F592" s="16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  <c r="CY592" s="17"/>
      <c r="CZ592" s="17"/>
      <c r="DA592" s="17"/>
      <c r="DB592" s="17"/>
      <c r="DC592" s="17"/>
      <c r="DD592" s="17"/>
      <c r="DE592" s="17"/>
      <c r="DF592" s="17"/>
      <c r="DG592" s="17"/>
      <c r="DH592" s="17"/>
      <c r="DI592" s="17"/>
      <c r="DJ592" s="17"/>
      <c r="DK592" s="17"/>
      <c r="DL592" s="17"/>
      <c r="DM592" s="17"/>
      <c r="DN592" s="17"/>
      <c r="DO592" s="17"/>
      <c r="DP592" s="17"/>
      <c r="DQ592" s="17"/>
      <c r="DR592" s="17"/>
      <c r="DS592" s="17"/>
      <c r="DT592" s="17"/>
      <c r="DU592" s="17"/>
      <c r="DV592" s="17"/>
      <c r="DW592" s="17"/>
    </row>
    <row r="593" spans="1:127" ht="18" customHeight="1">
      <c r="A593" s="16"/>
      <c r="B593" s="16"/>
      <c r="C593" s="16"/>
      <c r="D593" s="16"/>
      <c r="E593" s="16"/>
      <c r="F593" s="16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  <c r="CY593" s="17"/>
      <c r="CZ593" s="17"/>
      <c r="DA593" s="17"/>
      <c r="DB593" s="17"/>
      <c r="DC593" s="17"/>
      <c r="DD593" s="17"/>
      <c r="DE593" s="17"/>
      <c r="DF593" s="17"/>
      <c r="DG593" s="17"/>
      <c r="DH593" s="17"/>
      <c r="DI593" s="17"/>
      <c r="DJ593" s="17"/>
      <c r="DK593" s="17"/>
      <c r="DL593" s="17"/>
      <c r="DM593" s="17"/>
      <c r="DN593" s="17"/>
      <c r="DO593" s="17"/>
      <c r="DP593" s="17"/>
      <c r="DQ593" s="17"/>
      <c r="DR593" s="17"/>
      <c r="DS593" s="17"/>
      <c r="DT593" s="17"/>
      <c r="DU593" s="17"/>
      <c r="DV593" s="17"/>
      <c r="DW593" s="17"/>
    </row>
    <row r="594" spans="1:127" ht="18" customHeight="1">
      <c r="A594" s="16"/>
      <c r="B594" s="16"/>
      <c r="C594" s="16"/>
      <c r="D594" s="16"/>
      <c r="E594" s="16"/>
      <c r="F594" s="16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7"/>
      <c r="CX594" s="17"/>
      <c r="CY594" s="17"/>
      <c r="CZ594" s="17"/>
      <c r="DA594" s="17"/>
      <c r="DB594" s="17"/>
      <c r="DC594" s="17"/>
      <c r="DD594" s="17"/>
      <c r="DE594" s="17"/>
      <c r="DF594" s="17"/>
      <c r="DG594" s="17"/>
      <c r="DH594" s="17"/>
      <c r="DI594" s="17"/>
      <c r="DJ594" s="17"/>
      <c r="DK594" s="17"/>
      <c r="DL594" s="17"/>
      <c r="DM594" s="17"/>
      <c r="DN594" s="17"/>
      <c r="DO594" s="17"/>
      <c r="DP594" s="17"/>
      <c r="DQ594" s="17"/>
      <c r="DR594" s="17"/>
      <c r="DS594" s="17"/>
      <c r="DT594" s="17"/>
      <c r="DU594" s="17"/>
      <c r="DV594" s="17"/>
      <c r="DW594" s="17"/>
    </row>
    <row r="595" spans="1:127" ht="18" customHeight="1">
      <c r="A595" s="16"/>
      <c r="B595" s="16"/>
      <c r="C595" s="16"/>
      <c r="D595" s="16"/>
      <c r="E595" s="16"/>
      <c r="F595" s="16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  <c r="CZ595" s="17"/>
      <c r="DA595" s="17"/>
      <c r="DB595" s="17"/>
      <c r="DC595" s="17"/>
      <c r="DD595" s="17"/>
      <c r="DE595" s="17"/>
      <c r="DF595" s="17"/>
      <c r="DG595" s="17"/>
      <c r="DH595" s="17"/>
      <c r="DI595" s="17"/>
      <c r="DJ595" s="17"/>
      <c r="DK595" s="17"/>
      <c r="DL595" s="17"/>
      <c r="DM595" s="17"/>
      <c r="DN595" s="17"/>
      <c r="DO595" s="17"/>
      <c r="DP595" s="17"/>
      <c r="DQ595" s="17"/>
      <c r="DR595" s="17"/>
      <c r="DS595" s="17"/>
      <c r="DT595" s="17"/>
      <c r="DU595" s="17"/>
      <c r="DV595" s="17"/>
      <c r="DW595" s="17"/>
    </row>
    <row r="596" spans="1:127" ht="18" customHeight="1">
      <c r="A596" s="16"/>
      <c r="B596" s="16"/>
      <c r="C596" s="16"/>
      <c r="D596" s="16"/>
      <c r="E596" s="16"/>
      <c r="F596" s="16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  <c r="CZ596" s="17"/>
      <c r="DA596" s="17"/>
      <c r="DB596" s="17"/>
      <c r="DC596" s="17"/>
      <c r="DD596" s="17"/>
      <c r="DE596" s="17"/>
      <c r="DF596" s="17"/>
      <c r="DG596" s="17"/>
      <c r="DH596" s="17"/>
      <c r="DI596" s="17"/>
      <c r="DJ596" s="17"/>
      <c r="DK596" s="17"/>
      <c r="DL596" s="17"/>
      <c r="DM596" s="17"/>
      <c r="DN596" s="17"/>
      <c r="DO596" s="17"/>
      <c r="DP596" s="17"/>
      <c r="DQ596" s="17"/>
      <c r="DR596" s="17"/>
      <c r="DS596" s="17"/>
      <c r="DT596" s="17"/>
      <c r="DU596" s="17"/>
      <c r="DV596" s="17"/>
      <c r="DW596" s="17"/>
    </row>
    <row r="597" spans="1:127" ht="18" customHeight="1">
      <c r="A597" s="16"/>
      <c r="B597" s="16"/>
      <c r="C597" s="16"/>
      <c r="D597" s="16"/>
      <c r="E597" s="16"/>
      <c r="F597" s="16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  <c r="CY597" s="17"/>
      <c r="CZ597" s="17"/>
      <c r="DA597" s="17"/>
      <c r="DB597" s="17"/>
      <c r="DC597" s="17"/>
      <c r="DD597" s="17"/>
      <c r="DE597" s="17"/>
      <c r="DF597" s="17"/>
      <c r="DG597" s="17"/>
      <c r="DH597" s="17"/>
      <c r="DI597" s="17"/>
      <c r="DJ597" s="17"/>
      <c r="DK597" s="17"/>
      <c r="DL597" s="17"/>
      <c r="DM597" s="17"/>
      <c r="DN597" s="17"/>
      <c r="DO597" s="17"/>
      <c r="DP597" s="17"/>
      <c r="DQ597" s="17"/>
      <c r="DR597" s="17"/>
      <c r="DS597" s="17"/>
      <c r="DT597" s="17"/>
      <c r="DU597" s="17"/>
      <c r="DV597" s="17"/>
      <c r="DW597" s="17"/>
    </row>
    <row r="598" spans="1:127" ht="18" customHeight="1">
      <c r="A598" s="16"/>
      <c r="B598" s="16"/>
      <c r="C598" s="16"/>
      <c r="D598" s="16"/>
      <c r="E598" s="16"/>
      <c r="F598" s="16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  <c r="CZ598" s="17"/>
      <c r="DA598" s="17"/>
      <c r="DB598" s="17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  <c r="DM598" s="17"/>
      <c r="DN598" s="17"/>
      <c r="DO598" s="17"/>
      <c r="DP598" s="17"/>
      <c r="DQ598" s="17"/>
      <c r="DR598" s="17"/>
      <c r="DS598" s="17"/>
      <c r="DT598" s="17"/>
      <c r="DU598" s="17"/>
      <c r="DV598" s="17"/>
      <c r="DW598" s="17"/>
    </row>
    <row r="599" spans="1:127" ht="18" customHeight="1">
      <c r="A599" s="16"/>
      <c r="B599" s="16"/>
      <c r="C599" s="16"/>
      <c r="D599" s="16"/>
      <c r="E599" s="16"/>
      <c r="F599" s="16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  <c r="CY599" s="17"/>
      <c r="CZ599" s="17"/>
      <c r="DA599" s="17"/>
      <c r="DB599" s="17"/>
      <c r="DC599" s="17"/>
      <c r="DD599" s="17"/>
      <c r="DE599" s="17"/>
      <c r="DF599" s="17"/>
      <c r="DG599" s="17"/>
      <c r="DH599" s="17"/>
      <c r="DI599" s="17"/>
      <c r="DJ599" s="17"/>
      <c r="DK599" s="17"/>
      <c r="DL599" s="17"/>
      <c r="DM599" s="17"/>
      <c r="DN599" s="17"/>
      <c r="DO599" s="17"/>
      <c r="DP599" s="17"/>
      <c r="DQ599" s="17"/>
      <c r="DR599" s="17"/>
      <c r="DS599" s="17"/>
      <c r="DT599" s="17"/>
      <c r="DU599" s="17"/>
      <c r="DV599" s="17"/>
      <c r="DW599" s="17"/>
    </row>
    <row r="600" spans="1:127" ht="18" customHeight="1">
      <c r="A600" s="16"/>
      <c r="B600" s="16"/>
      <c r="C600" s="16"/>
      <c r="D600" s="16"/>
      <c r="E600" s="16"/>
      <c r="F600" s="16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  <c r="CY600" s="17"/>
      <c r="CZ600" s="17"/>
      <c r="DA600" s="17"/>
      <c r="DB600" s="17"/>
      <c r="DC600" s="17"/>
      <c r="DD600" s="17"/>
      <c r="DE600" s="17"/>
      <c r="DF600" s="17"/>
      <c r="DG600" s="17"/>
      <c r="DH600" s="17"/>
      <c r="DI600" s="17"/>
      <c r="DJ600" s="17"/>
      <c r="DK600" s="17"/>
      <c r="DL600" s="17"/>
      <c r="DM600" s="17"/>
      <c r="DN600" s="17"/>
      <c r="DO600" s="17"/>
      <c r="DP600" s="17"/>
      <c r="DQ600" s="17"/>
      <c r="DR600" s="17"/>
      <c r="DS600" s="17"/>
      <c r="DT600" s="17"/>
      <c r="DU600" s="17"/>
      <c r="DV600" s="17"/>
      <c r="DW600" s="17"/>
    </row>
    <row r="601" spans="1:127" ht="18" customHeight="1">
      <c r="A601" s="16"/>
      <c r="B601" s="16"/>
      <c r="C601" s="16"/>
      <c r="D601" s="16"/>
      <c r="E601" s="16"/>
      <c r="F601" s="16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  <c r="CZ601" s="17"/>
      <c r="DA601" s="17"/>
      <c r="DB601" s="17"/>
      <c r="DC601" s="17"/>
      <c r="DD601" s="17"/>
      <c r="DE601" s="17"/>
      <c r="DF601" s="17"/>
      <c r="DG601" s="17"/>
      <c r="DH601" s="17"/>
      <c r="DI601" s="17"/>
      <c r="DJ601" s="17"/>
      <c r="DK601" s="17"/>
      <c r="DL601" s="17"/>
      <c r="DM601" s="17"/>
      <c r="DN601" s="17"/>
      <c r="DO601" s="17"/>
      <c r="DP601" s="17"/>
      <c r="DQ601" s="17"/>
      <c r="DR601" s="17"/>
      <c r="DS601" s="17"/>
      <c r="DT601" s="17"/>
      <c r="DU601" s="17"/>
      <c r="DV601" s="17"/>
      <c r="DW601" s="17"/>
    </row>
    <row r="602" spans="1:127" ht="18" customHeight="1">
      <c r="A602" s="16"/>
      <c r="B602" s="16"/>
      <c r="C602" s="16"/>
      <c r="D602" s="16"/>
      <c r="E602" s="16"/>
      <c r="F602" s="16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7"/>
      <c r="CX602" s="17"/>
      <c r="CY602" s="17"/>
      <c r="CZ602" s="17"/>
      <c r="DA602" s="17"/>
      <c r="DB602" s="17"/>
      <c r="DC602" s="17"/>
      <c r="DD602" s="17"/>
      <c r="DE602" s="17"/>
      <c r="DF602" s="17"/>
      <c r="DG602" s="17"/>
      <c r="DH602" s="17"/>
      <c r="DI602" s="17"/>
      <c r="DJ602" s="17"/>
      <c r="DK602" s="17"/>
      <c r="DL602" s="17"/>
      <c r="DM602" s="17"/>
      <c r="DN602" s="17"/>
      <c r="DO602" s="17"/>
      <c r="DP602" s="17"/>
      <c r="DQ602" s="17"/>
      <c r="DR602" s="17"/>
      <c r="DS602" s="17"/>
      <c r="DT602" s="17"/>
      <c r="DU602" s="17"/>
      <c r="DV602" s="17"/>
      <c r="DW602" s="17"/>
    </row>
    <row r="603" spans="1:127" ht="18" customHeight="1">
      <c r="A603" s="16"/>
      <c r="B603" s="16"/>
      <c r="C603" s="16"/>
      <c r="D603" s="16"/>
      <c r="E603" s="16"/>
      <c r="F603" s="16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  <c r="CZ603" s="17"/>
      <c r="DA603" s="17"/>
      <c r="DB603" s="17"/>
      <c r="DC603" s="17"/>
      <c r="DD603" s="17"/>
      <c r="DE603" s="17"/>
      <c r="DF603" s="17"/>
      <c r="DG603" s="17"/>
      <c r="DH603" s="17"/>
      <c r="DI603" s="17"/>
      <c r="DJ603" s="17"/>
      <c r="DK603" s="17"/>
      <c r="DL603" s="17"/>
      <c r="DM603" s="17"/>
      <c r="DN603" s="17"/>
      <c r="DO603" s="17"/>
      <c r="DP603" s="17"/>
      <c r="DQ603" s="17"/>
      <c r="DR603" s="17"/>
      <c r="DS603" s="17"/>
      <c r="DT603" s="17"/>
      <c r="DU603" s="17"/>
      <c r="DV603" s="17"/>
      <c r="DW603" s="17"/>
    </row>
    <row r="604" spans="1:127" ht="18" customHeight="1">
      <c r="A604" s="16"/>
      <c r="B604" s="16"/>
      <c r="C604" s="16"/>
      <c r="D604" s="16"/>
      <c r="E604" s="16"/>
      <c r="F604" s="16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7"/>
      <c r="CX604" s="17"/>
      <c r="CY604" s="17"/>
      <c r="CZ604" s="17"/>
      <c r="DA604" s="17"/>
      <c r="DB604" s="17"/>
      <c r="DC604" s="17"/>
      <c r="DD604" s="17"/>
      <c r="DE604" s="17"/>
      <c r="DF604" s="17"/>
      <c r="DG604" s="17"/>
      <c r="DH604" s="17"/>
      <c r="DI604" s="17"/>
      <c r="DJ604" s="17"/>
      <c r="DK604" s="17"/>
      <c r="DL604" s="17"/>
      <c r="DM604" s="17"/>
      <c r="DN604" s="17"/>
      <c r="DO604" s="17"/>
      <c r="DP604" s="17"/>
      <c r="DQ604" s="17"/>
      <c r="DR604" s="17"/>
      <c r="DS604" s="17"/>
      <c r="DT604" s="17"/>
      <c r="DU604" s="17"/>
      <c r="DV604" s="17"/>
      <c r="DW604" s="17"/>
    </row>
    <row r="605" spans="1:127" ht="18" customHeight="1">
      <c r="A605" s="16"/>
      <c r="B605" s="16"/>
      <c r="C605" s="16"/>
      <c r="D605" s="16"/>
      <c r="E605" s="16"/>
      <c r="F605" s="16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7"/>
      <c r="CX605" s="17"/>
      <c r="CY605" s="17"/>
      <c r="CZ605" s="17"/>
      <c r="DA605" s="17"/>
      <c r="DB605" s="17"/>
      <c r="DC605" s="17"/>
      <c r="DD605" s="17"/>
      <c r="DE605" s="17"/>
      <c r="DF605" s="17"/>
      <c r="DG605" s="17"/>
      <c r="DH605" s="17"/>
      <c r="DI605" s="17"/>
      <c r="DJ605" s="17"/>
      <c r="DK605" s="17"/>
      <c r="DL605" s="17"/>
      <c r="DM605" s="17"/>
      <c r="DN605" s="17"/>
      <c r="DO605" s="17"/>
      <c r="DP605" s="17"/>
      <c r="DQ605" s="17"/>
      <c r="DR605" s="17"/>
      <c r="DS605" s="17"/>
      <c r="DT605" s="17"/>
      <c r="DU605" s="17"/>
      <c r="DV605" s="17"/>
      <c r="DW605" s="17"/>
    </row>
    <row r="606" spans="1:127" ht="18" customHeight="1">
      <c r="A606" s="16"/>
      <c r="B606" s="16"/>
      <c r="C606" s="16"/>
      <c r="D606" s="16"/>
      <c r="E606" s="16"/>
      <c r="F606" s="16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7"/>
      <c r="CX606" s="17"/>
      <c r="CY606" s="17"/>
      <c r="CZ606" s="17"/>
      <c r="DA606" s="17"/>
      <c r="DB606" s="17"/>
      <c r="DC606" s="17"/>
      <c r="DD606" s="17"/>
      <c r="DE606" s="17"/>
      <c r="DF606" s="17"/>
      <c r="DG606" s="17"/>
      <c r="DH606" s="17"/>
      <c r="DI606" s="17"/>
      <c r="DJ606" s="17"/>
      <c r="DK606" s="17"/>
      <c r="DL606" s="17"/>
      <c r="DM606" s="17"/>
      <c r="DN606" s="17"/>
      <c r="DO606" s="17"/>
      <c r="DP606" s="17"/>
      <c r="DQ606" s="17"/>
      <c r="DR606" s="17"/>
      <c r="DS606" s="17"/>
      <c r="DT606" s="17"/>
      <c r="DU606" s="17"/>
      <c r="DV606" s="17"/>
      <c r="DW606" s="17"/>
    </row>
    <row r="607" spans="1:127" ht="18" customHeight="1">
      <c r="A607" s="16"/>
      <c r="B607" s="16"/>
      <c r="C607" s="16"/>
      <c r="D607" s="16"/>
      <c r="E607" s="16"/>
      <c r="F607" s="16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7"/>
      <c r="CX607" s="17"/>
      <c r="CY607" s="17"/>
      <c r="CZ607" s="17"/>
      <c r="DA607" s="17"/>
      <c r="DB607" s="17"/>
      <c r="DC607" s="17"/>
      <c r="DD607" s="17"/>
      <c r="DE607" s="17"/>
      <c r="DF607" s="17"/>
      <c r="DG607" s="17"/>
      <c r="DH607" s="17"/>
      <c r="DI607" s="17"/>
      <c r="DJ607" s="17"/>
      <c r="DK607" s="17"/>
      <c r="DL607" s="17"/>
      <c r="DM607" s="17"/>
      <c r="DN607" s="17"/>
      <c r="DO607" s="17"/>
      <c r="DP607" s="17"/>
      <c r="DQ607" s="17"/>
      <c r="DR607" s="17"/>
      <c r="DS607" s="17"/>
      <c r="DT607" s="17"/>
      <c r="DU607" s="17"/>
      <c r="DV607" s="17"/>
      <c r="DW607" s="17"/>
    </row>
    <row r="608" spans="1:127" ht="18" customHeight="1">
      <c r="A608" s="16"/>
      <c r="B608" s="16"/>
      <c r="C608" s="16"/>
      <c r="D608" s="16"/>
      <c r="E608" s="16"/>
      <c r="F608" s="16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  <c r="CY608" s="17"/>
      <c r="CZ608" s="17"/>
      <c r="DA608" s="17"/>
      <c r="DB608" s="17"/>
      <c r="DC608" s="17"/>
      <c r="DD608" s="17"/>
      <c r="DE608" s="17"/>
      <c r="DF608" s="17"/>
      <c r="DG608" s="17"/>
      <c r="DH608" s="17"/>
      <c r="DI608" s="17"/>
      <c r="DJ608" s="17"/>
      <c r="DK608" s="17"/>
      <c r="DL608" s="17"/>
      <c r="DM608" s="17"/>
      <c r="DN608" s="17"/>
      <c r="DO608" s="17"/>
      <c r="DP608" s="17"/>
      <c r="DQ608" s="17"/>
      <c r="DR608" s="17"/>
      <c r="DS608" s="17"/>
      <c r="DT608" s="17"/>
      <c r="DU608" s="17"/>
      <c r="DV608" s="17"/>
      <c r="DW608" s="17"/>
    </row>
    <row r="609" spans="1:127" ht="18" customHeight="1">
      <c r="A609" s="16"/>
      <c r="B609" s="16"/>
      <c r="C609" s="16"/>
      <c r="D609" s="16"/>
      <c r="E609" s="16"/>
      <c r="F609" s="16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7"/>
      <c r="CX609" s="17"/>
      <c r="CY609" s="17"/>
      <c r="CZ609" s="17"/>
      <c r="DA609" s="17"/>
      <c r="DB609" s="17"/>
      <c r="DC609" s="17"/>
      <c r="DD609" s="17"/>
      <c r="DE609" s="17"/>
      <c r="DF609" s="17"/>
      <c r="DG609" s="17"/>
      <c r="DH609" s="17"/>
      <c r="DI609" s="17"/>
      <c r="DJ609" s="17"/>
      <c r="DK609" s="17"/>
      <c r="DL609" s="17"/>
      <c r="DM609" s="17"/>
      <c r="DN609" s="17"/>
      <c r="DO609" s="17"/>
      <c r="DP609" s="17"/>
      <c r="DQ609" s="17"/>
      <c r="DR609" s="17"/>
      <c r="DS609" s="17"/>
      <c r="DT609" s="17"/>
      <c r="DU609" s="17"/>
      <c r="DV609" s="17"/>
      <c r="DW609" s="17"/>
    </row>
    <row r="610" spans="1:127" ht="18" customHeight="1">
      <c r="A610" s="16"/>
      <c r="B610" s="16"/>
      <c r="C610" s="16"/>
      <c r="D610" s="16"/>
      <c r="E610" s="16"/>
      <c r="F610" s="16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7"/>
      <c r="CX610" s="17"/>
      <c r="CY610" s="17"/>
      <c r="CZ610" s="17"/>
      <c r="DA610" s="17"/>
      <c r="DB610" s="17"/>
      <c r="DC610" s="17"/>
      <c r="DD610" s="17"/>
      <c r="DE610" s="17"/>
      <c r="DF610" s="17"/>
      <c r="DG610" s="17"/>
      <c r="DH610" s="17"/>
      <c r="DI610" s="17"/>
      <c r="DJ610" s="17"/>
      <c r="DK610" s="17"/>
      <c r="DL610" s="17"/>
      <c r="DM610" s="17"/>
      <c r="DN610" s="17"/>
      <c r="DO610" s="17"/>
      <c r="DP610" s="17"/>
      <c r="DQ610" s="17"/>
      <c r="DR610" s="17"/>
      <c r="DS610" s="17"/>
      <c r="DT610" s="17"/>
      <c r="DU610" s="17"/>
      <c r="DV610" s="17"/>
      <c r="DW610" s="17"/>
    </row>
    <row r="611" spans="1:127" ht="18" customHeight="1">
      <c r="A611" s="16"/>
      <c r="B611" s="16"/>
      <c r="C611" s="16"/>
      <c r="D611" s="16"/>
      <c r="E611" s="16"/>
      <c r="F611" s="16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  <c r="CY611" s="17"/>
      <c r="CZ611" s="17"/>
      <c r="DA611" s="17"/>
      <c r="DB611" s="17"/>
      <c r="DC611" s="17"/>
      <c r="DD611" s="17"/>
      <c r="DE611" s="17"/>
      <c r="DF611" s="17"/>
      <c r="DG611" s="17"/>
      <c r="DH611" s="17"/>
      <c r="DI611" s="17"/>
      <c r="DJ611" s="17"/>
      <c r="DK611" s="17"/>
      <c r="DL611" s="17"/>
      <c r="DM611" s="17"/>
      <c r="DN611" s="17"/>
      <c r="DO611" s="17"/>
      <c r="DP611" s="17"/>
      <c r="DQ611" s="17"/>
      <c r="DR611" s="17"/>
      <c r="DS611" s="17"/>
      <c r="DT611" s="17"/>
      <c r="DU611" s="17"/>
      <c r="DV611" s="17"/>
      <c r="DW611" s="17"/>
    </row>
    <row r="612" spans="1:127" ht="18" customHeight="1">
      <c r="A612" s="16"/>
      <c r="B612" s="16"/>
      <c r="C612" s="16"/>
      <c r="D612" s="16"/>
      <c r="E612" s="16"/>
      <c r="F612" s="16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7"/>
      <c r="CX612" s="17"/>
      <c r="CY612" s="17"/>
      <c r="CZ612" s="17"/>
      <c r="DA612" s="17"/>
      <c r="DB612" s="17"/>
      <c r="DC612" s="17"/>
      <c r="DD612" s="17"/>
      <c r="DE612" s="17"/>
      <c r="DF612" s="17"/>
      <c r="DG612" s="17"/>
      <c r="DH612" s="17"/>
      <c r="DI612" s="17"/>
      <c r="DJ612" s="17"/>
      <c r="DK612" s="17"/>
      <c r="DL612" s="17"/>
      <c r="DM612" s="17"/>
      <c r="DN612" s="17"/>
      <c r="DO612" s="17"/>
      <c r="DP612" s="17"/>
      <c r="DQ612" s="17"/>
      <c r="DR612" s="17"/>
      <c r="DS612" s="17"/>
      <c r="DT612" s="17"/>
      <c r="DU612" s="17"/>
      <c r="DV612" s="17"/>
      <c r="DW612" s="17"/>
    </row>
    <row r="613" spans="1:127" ht="18" customHeight="1">
      <c r="A613" s="16"/>
      <c r="B613" s="16"/>
      <c r="C613" s="16"/>
      <c r="D613" s="16"/>
      <c r="E613" s="16"/>
      <c r="F613" s="16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  <c r="CY613" s="17"/>
      <c r="CZ613" s="17"/>
      <c r="DA613" s="17"/>
      <c r="DB613" s="17"/>
      <c r="DC613" s="17"/>
      <c r="DD613" s="17"/>
      <c r="DE613" s="17"/>
      <c r="DF613" s="17"/>
      <c r="DG613" s="17"/>
      <c r="DH613" s="17"/>
      <c r="DI613" s="17"/>
      <c r="DJ613" s="17"/>
      <c r="DK613" s="17"/>
      <c r="DL613" s="17"/>
      <c r="DM613" s="17"/>
      <c r="DN613" s="17"/>
      <c r="DO613" s="17"/>
      <c r="DP613" s="17"/>
      <c r="DQ613" s="17"/>
      <c r="DR613" s="17"/>
      <c r="DS613" s="17"/>
      <c r="DT613" s="17"/>
      <c r="DU613" s="17"/>
      <c r="DV613" s="17"/>
      <c r="DW613" s="17"/>
    </row>
    <row r="614" spans="1:127" ht="18" customHeight="1">
      <c r="A614" s="16"/>
      <c r="B614" s="16"/>
      <c r="C614" s="16"/>
      <c r="D614" s="16"/>
      <c r="E614" s="16"/>
      <c r="F614" s="16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7"/>
      <c r="CX614" s="17"/>
      <c r="CY614" s="17"/>
      <c r="CZ614" s="17"/>
      <c r="DA614" s="17"/>
      <c r="DB614" s="17"/>
      <c r="DC614" s="17"/>
      <c r="DD614" s="17"/>
      <c r="DE614" s="17"/>
      <c r="DF614" s="17"/>
      <c r="DG614" s="17"/>
      <c r="DH614" s="17"/>
      <c r="DI614" s="17"/>
      <c r="DJ614" s="17"/>
      <c r="DK614" s="17"/>
      <c r="DL614" s="17"/>
      <c r="DM614" s="17"/>
      <c r="DN614" s="17"/>
      <c r="DO614" s="17"/>
      <c r="DP614" s="17"/>
      <c r="DQ614" s="17"/>
      <c r="DR614" s="17"/>
      <c r="DS614" s="17"/>
      <c r="DT614" s="17"/>
      <c r="DU614" s="17"/>
      <c r="DV614" s="17"/>
      <c r="DW614" s="17"/>
    </row>
    <row r="615" spans="1:127" ht="18" customHeight="1">
      <c r="A615" s="16"/>
      <c r="B615" s="16"/>
      <c r="C615" s="16"/>
      <c r="D615" s="16"/>
      <c r="E615" s="16"/>
      <c r="F615" s="16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  <c r="CY615" s="17"/>
      <c r="CZ615" s="17"/>
      <c r="DA615" s="17"/>
      <c r="DB615" s="17"/>
      <c r="DC615" s="17"/>
      <c r="DD615" s="17"/>
      <c r="DE615" s="17"/>
      <c r="DF615" s="17"/>
      <c r="DG615" s="17"/>
      <c r="DH615" s="17"/>
      <c r="DI615" s="17"/>
      <c r="DJ615" s="17"/>
      <c r="DK615" s="17"/>
      <c r="DL615" s="17"/>
      <c r="DM615" s="17"/>
      <c r="DN615" s="17"/>
      <c r="DO615" s="17"/>
      <c r="DP615" s="17"/>
      <c r="DQ615" s="17"/>
      <c r="DR615" s="17"/>
      <c r="DS615" s="17"/>
      <c r="DT615" s="17"/>
      <c r="DU615" s="17"/>
      <c r="DV615" s="17"/>
      <c r="DW615" s="17"/>
    </row>
    <row r="616" spans="1:127" ht="18" customHeight="1">
      <c r="A616" s="16"/>
      <c r="B616" s="16"/>
      <c r="C616" s="16"/>
      <c r="D616" s="16"/>
      <c r="E616" s="16"/>
      <c r="F616" s="16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  <c r="CY616" s="17"/>
      <c r="CZ616" s="17"/>
      <c r="DA616" s="17"/>
      <c r="DB616" s="17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  <c r="DM616" s="17"/>
      <c r="DN616" s="17"/>
      <c r="DO616" s="17"/>
      <c r="DP616" s="17"/>
      <c r="DQ616" s="17"/>
      <c r="DR616" s="17"/>
      <c r="DS616" s="17"/>
      <c r="DT616" s="17"/>
      <c r="DU616" s="17"/>
      <c r="DV616" s="17"/>
      <c r="DW616" s="17"/>
    </row>
    <row r="617" spans="1:127" ht="18" customHeight="1">
      <c r="A617" s="16"/>
      <c r="B617" s="16"/>
      <c r="C617" s="16"/>
      <c r="D617" s="16"/>
      <c r="E617" s="16"/>
      <c r="F617" s="16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  <c r="CY617" s="17"/>
      <c r="CZ617" s="17"/>
      <c r="DA617" s="17"/>
      <c r="DB617" s="17"/>
      <c r="DC617" s="17"/>
      <c r="DD617" s="17"/>
      <c r="DE617" s="17"/>
      <c r="DF617" s="17"/>
      <c r="DG617" s="17"/>
      <c r="DH617" s="17"/>
      <c r="DI617" s="17"/>
      <c r="DJ617" s="17"/>
      <c r="DK617" s="17"/>
      <c r="DL617" s="17"/>
      <c r="DM617" s="17"/>
      <c r="DN617" s="17"/>
      <c r="DO617" s="17"/>
      <c r="DP617" s="17"/>
      <c r="DQ617" s="17"/>
      <c r="DR617" s="17"/>
      <c r="DS617" s="17"/>
      <c r="DT617" s="17"/>
      <c r="DU617" s="17"/>
      <c r="DV617" s="17"/>
      <c r="DW617" s="17"/>
    </row>
    <row r="618" spans="1:127" ht="18" customHeight="1">
      <c r="A618" s="16"/>
      <c r="B618" s="16"/>
      <c r="C618" s="16"/>
      <c r="D618" s="16"/>
      <c r="E618" s="16"/>
      <c r="F618" s="16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7"/>
      <c r="CX618" s="17"/>
      <c r="CY618" s="17"/>
      <c r="CZ618" s="17"/>
      <c r="DA618" s="17"/>
      <c r="DB618" s="17"/>
      <c r="DC618" s="17"/>
      <c r="DD618" s="17"/>
      <c r="DE618" s="17"/>
      <c r="DF618" s="17"/>
      <c r="DG618" s="17"/>
      <c r="DH618" s="17"/>
      <c r="DI618" s="17"/>
      <c r="DJ618" s="17"/>
      <c r="DK618" s="17"/>
      <c r="DL618" s="17"/>
      <c r="DM618" s="17"/>
      <c r="DN618" s="17"/>
      <c r="DO618" s="17"/>
      <c r="DP618" s="17"/>
      <c r="DQ618" s="17"/>
      <c r="DR618" s="17"/>
      <c r="DS618" s="17"/>
      <c r="DT618" s="17"/>
      <c r="DU618" s="17"/>
      <c r="DV618" s="17"/>
      <c r="DW618" s="17"/>
    </row>
    <row r="619" spans="1:127" ht="18" customHeight="1">
      <c r="A619" s="16"/>
      <c r="B619" s="16"/>
      <c r="C619" s="16"/>
      <c r="D619" s="16"/>
      <c r="E619" s="16"/>
      <c r="F619" s="16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7"/>
      <c r="CX619" s="17"/>
      <c r="CY619" s="17"/>
      <c r="CZ619" s="17"/>
      <c r="DA619" s="17"/>
      <c r="DB619" s="17"/>
      <c r="DC619" s="17"/>
      <c r="DD619" s="17"/>
      <c r="DE619" s="17"/>
      <c r="DF619" s="17"/>
      <c r="DG619" s="17"/>
      <c r="DH619" s="17"/>
      <c r="DI619" s="17"/>
      <c r="DJ619" s="17"/>
      <c r="DK619" s="17"/>
      <c r="DL619" s="17"/>
      <c r="DM619" s="17"/>
      <c r="DN619" s="17"/>
      <c r="DO619" s="17"/>
      <c r="DP619" s="17"/>
      <c r="DQ619" s="17"/>
      <c r="DR619" s="17"/>
      <c r="DS619" s="17"/>
      <c r="DT619" s="17"/>
      <c r="DU619" s="17"/>
      <c r="DV619" s="17"/>
      <c r="DW619" s="17"/>
    </row>
    <row r="620" spans="1:127" ht="18" customHeight="1">
      <c r="A620" s="16"/>
      <c r="B620" s="16"/>
      <c r="C620" s="16"/>
      <c r="D620" s="16"/>
      <c r="E620" s="16"/>
      <c r="F620" s="16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7"/>
      <c r="CX620" s="17"/>
      <c r="CY620" s="17"/>
      <c r="CZ620" s="17"/>
      <c r="DA620" s="17"/>
      <c r="DB620" s="17"/>
      <c r="DC620" s="17"/>
      <c r="DD620" s="17"/>
      <c r="DE620" s="17"/>
      <c r="DF620" s="17"/>
      <c r="DG620" s="17"/>
      <c r="DH620" s="17"/>
      <c r="DI620" s="17"/>
      <c r="DJ620" s="17"/>
      <c r="DK620" s="17"/>
      <c r="DL620" s="17"/>
      <c r="DM620" s="17"/>
      <c r="DN620" s="17"/>
      <c r="DO620" s="17"/>
      <c r="DP620" s="17"/>
      <c r="DQ620" s="17"/>
      <c r="DR620" s="17"/>
      <c r="DS620" s="17"/>
      <c r="DT620" s="17"/>
      <c r="DU620" s="17"/>
      <c r="DV620" s="17"/>
      <c r="DW620" s="17"/>
    </row>
    <row r="621" spans="1:127" ht="18" customHeight="1">
      <c r="A621" s="16"/>
      <c r="B621" s="16"/>
      <c r="C621" s="16"/>
      <c r="D621" s="16"/>
      <c r="E621" s="16"/>
      <c r="F621" s="16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7"/>
      <c r="CX621" s="17"/>
      <c r="CY621" s="17"/>
      <c r="CZ621" s="17"/>
      <c r="DA621" s="17"/>
      <c r="DB621" s="17"/>
      <c r="DC621" s="17"/>
      <c r="DD621" s="17"/>
      <c r="DE621" s="17"/>
      <c r="DF621" s="17"/>
      <c r="DG621" s="17"/>
      <c r="DH621" s="17"/>
      <c r="DI621" s="17"/>
      <c r="DJ621" s="17"/>
      <c r="DK621" s="17"/>
      <c r="DL621" s="17"/>
      <c r="DM621" s="17"/>
      <c r="DN621" s="17"/>
      <c r="DO621" s="17"/>
      <c r="DP621" s="17"/>
      <c r="DQ621" s="17"/>
      <c r="DR621" s="17"/>
      <c r="DS621" s="17"/>
      <c r="DT621" s="17"/>
      <c r="DU621" s="17"/>
      <c r="DV621" s="17"/>
      <c r="DW621" s="17"/>
    </row>
    <row r="622" spans="1:127" ht="18" customHeight="1">
      <c r="A622" s="16"/>
      <c r="B622" s="16"/>
      <c r="C622" s="16"/>
      <c r="D622" s="16"/>
      <c r="E622" s="16"/>
      <c r="F622" s="16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7"/>
      <c r="CX622" s="17"/>
      <c r="CY622" s="17"/>
      <c r="CZ622" s="17"/>
      <c r="DA622" s="17"/>
      <c r="DB622" s="17"/>
      <c r="DC622" s="17"/>
      <c r="DD622" s="17"/>
      <c r="DE622" s="17"/>
      <c r="DF622" s="17"/>
      <c r="DG622" s="17"/>
      <c r="DH622" s="17"/>
      <c r="DI622" s="17"/>
      <c r="DJ622" s="17"/>
      <c r="DK622" s="17"/>
      <c r="DL622" s="17"/>
      <c r="DM622" s="17"/>
      <c r="DN622" s="17"/>
      <c r="DO622" s="17"/>
      <c r="DP622" s="17"/>
      <c r="DQ622" s="17"/>
      <c r="DR622" s="17"/>
      <c r="DS622" s="17"/>
      <c r="DT622" s="17"/>
      <c r="DU622" s="17"/>
      <c r="DV622" s="17"/>
      <c r="DW622" s="17"/>
    </row>
    <row r="623" spans="1:127" ht="18" customHeight="1">
      <c r="A623" s="16"/>
      <c r="B623" s="16"/>
      <c r="C623" s="16"/>
      <c r="D623" s="16"/>
      <c r="E623" s="16"/>
      <c r="F623" s="16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  <c r="BK623" s="17"/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17"/>
      <c r="CU623" s="17"/>
      <c r="CV623" s="17"/>
      <c r="CW623" s="17"/>
      <c r="CX623" s="17"/>
      <c r="CY623" s="17"/>
      <c r="CZ623" s="17"/>
      <c r="DA623" s="17"/>
      <c r="DB623" s="17"/>
      <c r="DC623" s="17"/>
      <c r="DD623" s="17"/>
      <c r="DE623" s="17"/>
      <c r="DF623" s="17"/>
      <c r="DG623" s="17"/>
      <c r="DH623" s="17"/>
      <c r="DI623" s="17"/>
      <c r="DJ623" s="17"/>
      <c r="DK623" s="17"/>
      <c r="DL623" s="17"/>
      <c r="DM623" s="17"/>
      <c r="DN623" s="17"/>
      <c r="DO623" s="17"/>
      <c r="DP623" s="17"/>
      <c r="DQ623" s="17"/>
      <c r="DR623" s="17"/>
      <c r="DS623" s="17"/>
      <c r="DT623" s="17"/>
      <c r="DU623" s="17"/>
      <c r="DV623" s="17"/>
      <c r="DW623" s="17"/>
    </row>
    <row r="624" spans="1:127" ht="18" customHeight="1">
      <c r="A624" s="16"/>
      <c r="B624" s="16"/>
      <c r="C624" s="16"/>
      <c r="D624" s="16"/>
      <c r="E624" s="16"/>
      <c r="F624" s="16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  <c r="CY624" s="17"/>
      <c r="CZ624" s="17"/>
      <c r="DA624" s="17"/>
      <c r="DB624" s="17"/>
      <c r="DC624" s="17"/>
      <c r="DD624" s="17"/>
      <c r="DE624" s="17"/>
      <c r="DF624" s="17"/>
      <c r="DG624" s="17"/>
      <c r="DH624" s="17"/>
      <c r="DI624" s="17"/>
      <c r="DJ624" s="17"/>
      <c r="DK624" s="17"/>
      <c r="DL624" s="17"/>
      <c r="DM624" s="17"/>
      <c r="DN624" s="17"/>
      <c r="DO624" s="17"/>
      <c r="DP624" s="17"/>
      <c r="DQ624" s="17"/>
      <c r="DR624" s="17"/>
      <c r="DS624" s="17"/>
      <c r="DT624" s="17"/>
      <c r="DU624" s="17"/>
      <c r="DV624" s="17"/>
      <c r="DW624" s="17"/>
    </row>
    <row r="625" spans="1:127" ht="18" customHeight="1">
      <c r="A625" s="16"/>
      <c r="B625" s="16"/>
      <c r="C625" s="16"/>
      <c r="D625" s="16"/>
      <c r="E625" s="16"/>
      <c r="F625" s="16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  <c r="CY625" s="17"/>
      <c r="CZ625" s="17"/>
      <c r="DA625" s="17"/>
      <c r="DB625" s="17"/>
      <c r="DC625" s="17"/>
      <c r="DD625" s="17"/>
      <c r="DE625" s="17"/>
      <c r="DF625" s="17"/>
      <c r="DG625" s="17"/>
      <c r="DH625" s="17"/>
      <c r="DI625" s="17"/>
      <c r="DJ625" s="17"/>
      <c r="DK625" s="17"/>
      <c r="DL625" s="17"/>
      <c r="DM625" s="17"/>
      <c r="DN625" s="17"/>
      <c r="DO625" s="17"/>
      <c r="DP625" s="17"/>
      <c r="DQ625" s="17"/>
      <c r="DR625" s="17"/>
      <c r="DS625" s="17"/>
      <c r="DT625" s="17"/>
      <c r="DU625" s="17"/>
      <c r="DV625" s="17"/>
      <c r="DW625" s="17"/>
    </row>
    <row r="626" spans="1:127" ht="18" customHeight="1">
      <c r="A626" s="16"/>
      <c r="B626" s="16"/>
      <c r="C626" s="16"/>
      <c r="D626" s="16"/>
      <c r="E626" s="16"/>
      <c r="F626" s="16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7"/>
      <c r="CX626" s="17"/>
      <c r="CY626" s="17"/>
      <c r="CZ626" s="17"/>
      <c r="DA626" s="17"/>
      <c r="DB626" s="17"/>
      <c r="DC626" s="17"/>
      <c r="DD626" s="17"/>
      <c r="DE626" s="17"/>
      <c r="DF626" s="17"/>
      <c r="DG626" s="17"/>
      <c r="DH626" s="17"/>
      <c r="DI626" s="17"/>
      <c r="DJ626" s="17"/>
      <c r="DK626" s="17"/>
      <c r="DL626" s="17"/>
      <c r="DM626" s="17"/>
      <c r="DN626" s="17"/>
      <c r="DO626" s="17"/>
      <c r="DP626" s="17"/>
      <c r="DQ626" s="17"/>
      <c r="DR626" s="17"/>
      <c r="DS626" s="17"/>
      <c r="DT626" s="17"/>
      <c r="DU626" s="17"/>
      <c r="DV626" s="17"/>
      <c r="DW626" s="17"/>
    </row>
    <row r="627" spans="1:127" ht="18" customHeight="1">
      <c r="A627" s="16"/>
      <c r="B627" s="16"/>
      <c r="C627" s="16"/>
      <c r="D627" s="16"/>
      <c r="E627" s="16"/>
      <c r="F627" s="16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7"/>
      <c r="CX627" s="17"/>
      <c r="CY627" s="17"/>
      <c r="CZ627" s="17"/>
      <c r="DA627" s="17"/>
      <c r="DB627" s="17"/>
      <c r="DC627" s="17"/>
      <c r="DD627" s="17"/>
      <c r="DE627" s="17"/>
      <c r="DF627" s="17"/>
      <c r="DG627" s="17"/>
      <c r="DH627" s="17"/>
      <c r="DI627" s="17"/>
      <c r="DJ627" s="17"/>
      <c r="DK627" s="17"/>
      <c r="DL627" s="17"/>
      <c r="DM627" s="17"/>
      <c r="DN627" s="17"/>
      <c r="DO627" s="17"/>
      <c r="DP627" s="17"/>
      <c r="DQ627" s="17"/>
      <c r="DR627" s="17"/>
      <c r="DS627" s="17"/>
      <c r="DT627" s="17"/>
      <c r="DU627" s="17"/>
      <c r="DV627" s="17"/>
      <c r="DW627" s="17"/>
    </row>
    <row r="628" spans="1:127" ht="18" customHeight="1">
      <c r="A628" s="16"/>
      <c r="B628" s="16"/>
      <c r="C628" s="16"/>
      <c r="D628" s="16"/>
      <c r="E628" s="16"/>
      <c r="F628" s="16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7"/>
      <c r="CX628" s="17"/>
      <c r="CY628" s="17"/>
      <c r="CZ628" s="17"/>
      <c r="DA628" s="17"/>
      <c r="DB628" s="17"/>
      <c r="DC628" s="17"/>
      <c r="DD628" s="17"/>
      <c r="DE628" s="17"/>
      <c r="DF628" s="17"/>
      <c r="DG628" s="17"/>
      <c r="DH628" s="17"/>
      <c r="DI628" s="17"/>
      <c r="DJ628" s="17"/>
      <c r="DK628" s="17"/>
      <c r="DL628" s="17"/>
      <c r="DM628" s="17"/>
      <c r="DN628" s="17"/>
      <c r="DO628" s="17"/>
      <c r="DP628" s="17"/>
      <c r="DQ628" s="17"/>
      <c r="DR628" s="17"/>
      <c r="DS628" s="17"/>
      <c r="DT628" s="17"/>
      <c r="DU628" s="17"/>
      <c r="DV628" s="17"/>
      <c r="DW628" s="17"/>
    </row>
    <row r="629" spans="1:127" ht="18" customHeight="1">
      <c r="A629" s="16"/>
      <c r="B629" s="16"/>
      <c r="C629" s="16"/>
      <c r="D629" s="16"/>
      <c r="E629" s="16"/>
      <c r="F629" s="16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7"/>
      <c r="CX629" s="17"/>
      <c r="CY629" s="17"/>
      <c r="CZ629" s="17"/>
      <c r="DA629" s="17"/>
      <c r="DB629" s="17"/>
      <c r="DC629" s="17"/>
      <c r="DD629" s="17"/>
      <c r="DE629" s="17"/>
      <c r="DF629" s="17"/>
      <c r="DG629" s="17"/>
      <c r="DH629" s="17"/>
      <c r="DI629" s="17"/>
      <c r="DJ629" s="17"/>
      <c r="DK629" s="17"/>
      <c r="DL629" s="17"/>
      <c r="DM629" s="17"/>
      <c r="DN629" s="17"/>
      <c r="DO629" s="17"/>
      <c r="DP629" s="17"/>
      <c r="DQ629" s="17"/>
      <c r="DR629" s="17"/>
      <c r="DS629" s="17"/>
      <c r="DT629" s="17"/>
      <c r="DU629" s="17"/>
      <c r="DV629" s="17"/>
      <c r="DW629" s="17"/>
    </row>
    <row r="630" spans="1:127" ht="18" customHeight="1">
      <c r="A630" s="16"/>
      <c r="B630" s="16"/>
      <c r="C630" s="16"/>
      <c r="D630" s="16"/>
      <c r="E630" s="16"/>
      <c r="F630" s="16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  <c r="CY630" s="17"/>
      <c r="CZ630" s="17"/>
      <c r="DA630" s="17"/>
      <c r="DB630" s="17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  <c r="DM630" s="17"/>
      <c r="DN630" s="17"/>
      <c r="DO630" s="17"/>
      <c r="DP630" s="17"/>
      <c r="DQ630" s="17"/>
      <c r="DR630" s="17"/>
      <c r="DS630" s="17"/>
      <c r="DT630" s="17"/>
      <c r="DU630" s="17"/>
      <c r="DV630" s="17"/>
      <c r="DW630" s="17"/>
    </row>
    <row r="631" spans="1:127" ht="18" customHeight="1">
      <c r="A631" s="16"/>
      <c r="B631" s="16"/>
      <c r="C631" s="16"/>
      <c r="D631" s="16"/>
      <c r="E631" s="16"/>
      <c r="F631" s="16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7"/>
      <c r="CX631" s="17"/>
      <c r="CY631" s="17"/>
      <c r="CZ631" s="17"/>
      <c r="DA631" s="17"/>
      <c r="DB631" s="17"/>
      <c r="DC631" s="17"/>
      <c r="DD631" s="17"/>
      <c r="DE631" s="17"/>
      <c r="DF631" s="17"/>
      <c r="DG631" s="17"/>
      <c r="DH631" s="17"/>
      <c r="DI631" s="17"/>
      <c r="DJ631" s="17"/>
      <c r="DK631" s="17"/>
      <c r="DL631" s="17"/>
      <c r="DM631" s="17"/>
      <c r="DN631" s="17"/>
      <c r="DO631" s="17"/>
      <c r="DP631" s="17"/>
      <c r="DQ631" s="17"/>
      <c r="DR631" s="17"/>
      <c r="DS631" s="17"/>
      <c r="DT631" s="17"/>
      <c r="DU631" s="17"/>
      <c r="DV631" s="17"/>
      <c r="DW631" s="17"/>
    </row>
    <row r="632" spans="1:127" ht="18" customHeight="1">
      <c r="A632" s="16"/>
      <c r="B632" s="16"/>
      <c r="C632" s="16"/>
      <c r="D632" s="16"/>
      <c r="E632" s="16"/>
      <c r="F632" s="16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  <c r="CY632" s="17"/>
      <c r="CZ632" s="17"/>
      <c r="DA632" s="17"/>
      <c r="DB632" s="17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  <c r="DM632" s="17"/>
      <c r="DN632" s="17"/>
      <c r="DO632" s="17"/>
      <c r="DP632" s="17"/>
      <c r="DQ632" s="17"/>
      <c r="DR632" s="17"/>
      <c r="DS632" s="17"/>
      <c r="DT632" s="17"/>
      <c r="DU632" s="17"/>
      <c r="DV632" s="17"/>
      <c r="DW632" s="17"/>
    </row>
    <row r="633" spans="1:127" ht="18" customHeight="1">
      <c r="A633" s="16"/>
      <c r="B633" s="16"/>
      <c r="C633" s="16"/>
      <c r="D633" s="16"/>
      <c r="E633" s="16"/>
      <c r="F633" s="16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  <c r="CY633" s="17"/>
      <c r="CZ633" s="17"/>
      <c r="DA633" s="17"/>
      <c r="DB633" s="17"/>
      <c r="DC633" s="17"/>
      <c r="DD633" s="17"/>
      <c r="DE633" s="17"/>
      <c r="DF633" s="17"/>
      <c r="DG633" s="17"/>
      <c r="DH633" s="17"/>
      <c r="DI633" s="17"/>
      <c r="DJ633" s="17"/>
      <c r="DK633" s="17"/>
      <c r="DL633" s="17"/>
      <c r="DM633" s="17"/>
      <c r="DN633" s="17"/>
      <c r="DO633" s="17"/>
      <c r="DP633" s="17"/>
      <c r="DQ633" s="17"/>
      <c r="DR633" s="17"/>
      <c r="DS633" s="17"/>
      <c r="DT633" s="17"/>
      <c r="DU633" s="17"/>
      <c r="DV633" s="17"/>
      <c r="DW633" s="17"/>
    </row>
    <row r="634" spans="1:127" ht="18" customHeight="1">
      <c r="A634" s="16"/>
      <c r="B634" s="16"/>
      <c r="C634" s="16"/>
      <c r="D634" s="16"/>
      <c r="E634" s="16"/>
      <c r="F634" s="16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7"/>
      <c r="CX634" s="17"/>
      <c r="CY634" s="17"/>
      <c r="CZ634" s="17"/>
      <c r="DA634" s="17"/>
      <c r="DB634" s="17"/>
      <c r="DC634" s="17"/>
      <c r="DD634" s="17"/>
      <c r="DE634" s="17"/>
      <c r="DF634" s="17"/>
      <c r="DG634" s="17"/>
      <c r="DH634" s="17"/>
      <c r="DI634" s="17"/>
      <c r="DJ634" s="17"/>
      <c r="DK634" s="17"/>
      <c r="DL634" s="17"/>
      <c r="DM634" s="17"/>
      <c r="DN634" s="17"/>
      <c r="DO634" s="17"/>
      <c r="DP634" s="17"/>
      <c r="DQ634" s="17"/>
      <c r="DR634" s="17"/>
      <c r="DS634" s="17"/>
      <c r="DT634" s="17"/>
      <c r="DU634" s="17"/>
      <c r="DV634" s="17"/>
      <c r="DW634" s="17"/>
    </row>
    <row r="635" spans="1:127" ht="18" customHeight="1">
      <c r="A635" s="16"/>
      <c r="B635" s="16"/>
      <c r="C635" s="16"/>
      <c r="D635" s="16"/>
      <c r="E635" s="16"/>
      <c r="F635" s="16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7"/>
      <c r="CX635" s="17"/>
      <c r="CY635" s="17"/>
      <c r="CZ635" s="17"/>
      <c r="DA635" s="17"/>
      <c r="DB635" s="17"/>
      <c r="DC635" s="17"/>
      <c r="DD635" s="17"/>
      <c r="DE635" s="17"/>
      <c r="DF635" s="17"/>
      <c r="DG635" s="17"/>
      <c r="DH635" s="17"/>
      <c r="DI635" s="17"/>
      <c r="DJ635" s="17"/>
      <c r="DK635" s="17"/>
      <c r="DL635" s="17"/>
      <c r="DM635" s="17"/>
      <c r="DN635" s="17"/>
      <c r="DO635" s="17"/>
      <c r="DP635" s="17"/>
      <c r="DQ635" s="17"/>
      <c r="DR635" s="17"/>
      <c r="DS635" s="17"/>
      <c r="DT635" s="17"/>
      <c r="DU635" s="17"/>
      <c r="DV635" s="17"/>
      <c r="DW635" s="17"/>
    </row>
    <row r="636" spans="1:127" ht="18" customHeight="1">
      <c r="A636" s="16"/>
      <c r="B636" s="16"/>
      <c r="C636" s="16"/>
      <c r="D636" s="16"/>
      <c r="E636" s="16"/>
      <c r="F636" s="16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7"/>
      <c r="CX636" s="17"/>
      <c r="CY636" s="17"/>
      <c r="CZ636" s="17"/>
      <c r="DA636" s="17"/>
      <c r="DB636" s="17"/>
      <c r="DC636" s="17"/>
      <c r="DD636" s="17"/>
      <c r="DE636" s="17"/>
      <c r="DF636" s="17"/>
      <c r="DG636" s="17"/>
      <c r="DH636" s="17"/>
      <c r="DI636" s="17"/>
      <c r="DJ636" s="17"/>
      <c r="DK636" s="17"/>
      <c r="DL636" s="17"/>
      <c r="DM636" s="17"/>
      <c r="DN636" s="17"/>
      <c r="DO636" s="17"/>
      <c r="DP636" s="17"/>
      <c r="DQ636" s="17"/>
      <c r="DR636" s="17"/>
      <c r="DS636" s="17"/>
      <c r="DT636" s="17"/>
      <c r="DU636" s="17"/>
      <c r="DV636" s="17"/>
      <c r="DW636" s="17"/>
    </row>
    <row r="637" spans="1:127" ht="18" customHeight="1">
      <c r="A637" s="16"/>
      <c r="B637" s="16"/>
      <c r="C637" s="16"/>
      <c r="D637" s="16"/>
      <c r="E637" s="16"/>
      <c r="F637" s="16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7"/>
      <c r="CX637" s="17"/>
      <c r="CY637" s="17"/>
      <c r="CZ637" s="17"/>
      <c r="DA637" s="17"/>
      <c r="DB637" s="17"/>
      <c r="DC637" s="17"/>
      <c r="DD637" s="17"/>
      <c r="DE637" s="17"/>
      <c r="DF637" s="17"/>
      <c r="DG637" s="17"/>
      <c r="DH637" s="17"/>
      <c r="DI637" s="17"/>
      <c r="DJ637" s="17"/>
      <c r="DK637" s="17"/>
      <c r="DL637" s="17"/>
      <c r="DM637" s="17"/>
      <c r="DN637" s="17"/>
      <c r="DO637" s="17"/>
      <c r="DP637" s="17"/>
      <c r="DQ637" s="17"/>
      <c r="DR637" s="17"/>
      <c r="DS637" s="17"/>
      <c r="DT637" s="17"/>
      <c r="DU637" s="17"/>
      <c r="DV637" s="17"/>
      <c r="DW637" s="17"/>
    </row>
    <row r="638" spans="1:127" ht="18" customHeight="1">
      <c r="A638" s="16"/>
      <c r="B638" s="16"/>
      <c r="C638" s="16"/>
      <c r="D638" s="16"/>
      <c r="E638" s="16"/>
      <c r="F638" s="16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7"/>
      <c r="CX638" s="17"/>
      <c r="CY638" s="17"/>
      <c r="CZ638" s="17"/>
      <c r="DA638" s="17"/>
      <c r="DB638" s="17"/>
      <c r="DC638" s="17"/>
      <c r="DD638" s="17"/>
      <c r="DE638" s="17"/>
      <c r="DF638" s="17"/>
      <c r="DG638" s="17"/>
      <c r="DH638" s="17"/>
      <c r="DI638" s="17"/>
      <c r="DJ638" s="17"/>
      <c r="DK638" s="17"/>
      <c r="DL638" s="17"/>
      <c r="DM638" s="17"/>
      <c r="DN638" s="17"/>
      <c r="DO638" s="17"/>
      <c r="DP638" s="17"/>
      <c r="DQ638" s="17"/>
      <c r="DR638" s="17"/>
      <c r="DS638" s="17"/>
      <c r="DT638" s="17"/>
      <c r="DU638" s="17"/>
      <c r="DV638" s="17"/>
      <c r="DW638" s="17"/>
    </row>
    <row r="639" spans="1:127" ht="18" customHeight="1">
      <c r="A639" s="16"/>
      <c r="B639" s="16"/>
      <c r="C639" s="16"/>
      <c r="D639" s="16"/>
      <c r="E639" s="16"/>
      <c r="F639" s="16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7"/>
      <c r="CX639" s="17"/>
      <c r="CY639" s="17"/>
      <c r="CZ639" s="17"/>
      <c r="DA639" s="17"/>
      <c r="DB639" s="17"/>
      <c r="DC639" s="17"/>
      <c r="DD639" s="17"/>
      <c r="DE639" s="17"/>
      <c r="DF639" s="17"/>
      <c r="DG639" s="17"/>
      <c r="DH639" s="17"/>
      <c r="DI639" s="17"/>
      <c r="DJ639" s="17"/>
      <c r="DK639" s="17"/>
      <c r="DL639" s="17"/>
      <c r="DM639" s="17"/>
      <c r="DN639" s="17"/>
      <c r="DO639" s="17"/>
      <c r="DP639" s="17"/>
      <c r="DQ639" s="17"/>
      <c r="DR639" s="17"/>
      <c r="DS639" s="17"/>
      <c r="DT639" s="17"/>
      <c r="DU639" s="17"/>
      <c r="DV639" s="17"/>
      <c r="DW639" s="17"/>
    </row>
    <row r="640" spans="1:127" ht="18" customHeight="1">
      <c r="A640" s="16"/>
      <c r="B640" s="16"/>
      <c r="C640" s="16"/>
      <c r="D640" s="16"/>
      <c r="E640" s="16"/>
      <c r="F640" s="16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7"/>
      <c r="CX640" s="17"/>
      <c r="CY640" s="17"/>
      <c r="CZ640" s="17"/>
      <c r="DA640" s="17"/>
      <c r="DB640" s="17"/>
      <c r="DC640" s="17"/>
      <c r="DD640" s="17"/>
      <c r="DE640" s="17"/>
      <c r="DF640" s="17"/>
      <c r="DG640" s="17"/>
      <c r="DH640" s="17"/>
      <c r="DI640" s="17"/>
      <c r="DJ640" s="17"/>
      <c r="DK640" s="17"/>
      <c r="DL640" s="17"/>
      <c r="DM640" s="17"/>
      <c r="DN640" s="17"/>
      <c r="DO640" s="17"/>
      <c r="DP640" s="17"/>
      <c r="DQ640" s="17"/>
      <c r="DR640" s="17"/>
      <c r="DS640" s="17"/>
      <c r="DT640" s="17"/>
      <c r="DU640" s="17"/>
      <c r="DV640" s="17"/>
      <c r="DW640" s="17"/>
    </row>
    <row r="641" spans="1:127" ht="18" customHeight="1">
      <c r="A641" s="16"/>
      <c r="B641" s="16"/>
      <c r="C641" s="16"/>
      <c r="D641" s="16"/>
      <c r="E641" s="16"/>
      <c r="F641" s="16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7"/>
      <c r="CX641" s="17"/>
      <c r="CY641" s="17"/>
      <c r="CZ641" s="17"/>
      <c r="DA641" s="17"/>
      <c r="DB641" s="17"/>
      <c r="DC641" s="17"/>
      <c r="DD641" s="17"/>
      <c r="DE641" s="17"/>
      <c r="DF641" s="17"/>
      <c r="DG641" s="17"/>
      <c r="DH641" s="17"/>
      <c r="DI641" s="17"/>
      <c r="DJ641" s="17"/>
      <c r="DK641" s="17"/>
      <c r="DL641" s="17"/>
      <c r="DM641" s="17"/>
      <c r="DN641" s="17"/>
      <c r="DO641" s="17"/>
      <c r="DP641" s="17"/>
      <c r="DQ641" s="17"/>
      <c r="DR641" s="17"/>
      <c r="DS641" s="17"/>
      <c r="DT641" s="17"/>
      <c r="DU641" s="17"/>
      <c r="DV641" s="17"/>
      <c r="DW641" s="17"/>
    </row>
    <row r="642" spans="1:127" ht="18" customHeight="1">
      <c r="A642" s="16"/>
      <c r="B642" s="16"/>
      <c r="C642" s="16"/>
      <c r="D642" s="16"/>
      <c r="E642" s="16"/>
      <c r="F642" s="16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7"/>
      <c r="CX642" s="17"/>
      <c r="CY642" s="17"/>
      <c r="CZ642" s="17"/>
      <c r="DA642" s="17"/>
      <c r="DB642" s="17"/>
      <c r="DC642" s="17"/>
      <c r="DD642" s="17"/>
      <c r="DE642" s="17"/>
      <c r="DF642" s="17"/>
      <c r="DG642" s="17"/>
      <c r="DH642" s="17"/>
      <c r="DI642" s="17"/>
      <c r="DJ642" s="17"/>
      <c r="DK642" s="17"/>
      <c r="DL642" s="17"/>
      <c r="DM642" s="17"/>
      <c r="DN642" s="17"/>
      <c r="DO642" s="17"/>
      <c r="DP642" s="17"/>
      <c r="DQ642" s="17"/>
      <c r="DR642" s="17"/>
      <c r="DS642" s="17"/>
      <c r="DT642" s="17"/>
      <c r="DU642" s="17"/>
      <c r="DV642" s="17"/>
      <c r="DW642" s="17"/>
    </row>
    <row r="643" spans="1:127" ht="18" customHeight="1">
      <c r="A643" s="16"/>
      <c r="B643" s="16"/>
      <c r="C643" s="16"/>
      <c r="D643" s="16"/>
      <c r="E643" s="16"/>
      <c r="F643" s="16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7"/>
      <c r="CX643" s="17"/>
      <c r="CY643" s="17"/>
      <c r="CZ643" s="17"/>
      <c r="DA643" s="17"/>
      <c r="DB643" s="17"/>
      <c r="DC643" s="17"/>
      <c r="DD643" s="17"/>
      <c r="DE643" s="17"/>
      <c r="DF643" s="17"/>
      <c r="DG643" s="17"/>
      <c r="DH643" s="17"/>
      <c r="DI643" s="17"/>
      <c r="DJ643" s="17"/>
      <c r="DK643" s="17"/>
      <c r="DL643" s="17"/>
      <c r="DM643" s="17"/>
      <c r="DN643" s="17"/>
      <c r="DO643" s="17"/>
      <c r="DP643" s="17"/>
      <c r="DQ643" s="17"/>
      <c r="DR643" s="17"/>
      <c r="DS643" s="17"/>
      <c r="DT643" s="17"/>
      <c r="DU643" s="17"/>
      <c r="DV643" s="17"/>
      <c r="DW643" s="17"/>
    </row>
    <row r="644" spans="1:127" ht="18" customHeight="1">
      <c r="A644" s="16"/>
      <c r="B644" s="16"/>
      <c r="C644" s="16"/>
      <c r="D644" s="16"/>
      <c r="E644" s="16"/>
      <c r="F644" s="16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7"/>
      <c r="CX644" s="17"/>
      <c r="CY644" s="17"/>
      <c r="CZ644" s="17"/>
      <c r="DA644" s="17"/>
      <c r="DB644" s="17"/>
      <c r="DC644" s="17"/>
      <c r="DD644" s="17"/>
      <c r="DE644" s="17"/>
      <c r="DF644" s="17"/>
      <c r="DG644" s="17"/>
      <c r="DH644" s="17"/>
      <c r="DI644" s="17"/>
      <c r="DJ644" s="17"/>
      <c r="DK644" s="17"/>
      <c r="DL644" s="17"/>
      <c r="DM644" s="17"/>
      <c r="DN644" s="17"/>
      <c r="DO644" s="17"/>
      <c r="DP644" s="17"/>
      <c r="DQ644" s="17"/>
      <c r="DR644" s="17"/>
      <c r="DS644" s="17"/>
      <c r="DT644" s="17"/>
      <c r="DU644" s="17"/>
      <c r="DV644" s="17"/>
      <c r="DW644" s="17"/>
    </row>
    <row r="645" spans="1:127" ht="18" customHeight="1">
      <c r="A645" s="16"/>
      <c r="B645" s="16"/>
      <c r="C645" s="16"/>
      <c r="D645" s="16"/>
      <c r="E645" s="16"/>
      <c r="F645" s="16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  <c r="BK645" s="17"/>
      <c r="BL645" s="17"/>
      <c r="BM645" s="17"/>
      <c r="BN645" s="17"/>
      <c r="BO645" s="17"/>
      <c r="BP645" s="17"/>
      <c r="BQ645" s="17"/>
      <c r="BR645" s="17"/>
      <c r="BS645" s="17"/>
      <c r="BT645" s="17"/>
      <c r="BU645" s="17"/>
      <c r="BV645" s="17"/>
      <c r="BW645" s="17"/>
      <c r="BX645" s="17"/>
      <c r="BY645" s="17"/>
      <c r="BZ645" s="17"/>
      <c r="CA645" s="17"/>
      <c r="CB645" s="17"/>
      <c r="CC645" s="17"/>
      <c r="CD645" s="17"/>
      <c r="CE645" s="17"/>
      <c r="CF645" s="17"/>
      <c r="CG645" s="17"/>
      <c r="CH645" s="17"/>
      <c r="CI645" s="17"/>
      <c r="CJ645" s="17"/>
      <c r="CK645" s="17"/>
      <c r="CL645" s="17"/>
      <c r="CM645" s="17"/>
      <c r="CN645" s="17"/>
      <c r="CO645" s="17"/>
      <c r="CP645" s="17"/>
      <c r="CQ645" s="17"/>
      <c r="CR645" s="17"/>
      <c r="CS645" s="17"/>
      <c r="CT645" s="17"/>
      <c r="CU645" s="17"/>
      <c r="CV645" s="17"/>
      <c r="CW645" s="17"/>
      <c r="CX645" s="17"/>
      <c r="CY645" s="17"/>
      <c r="CZ645" s="17"/>
      <c r="DA645" s="17"/>
      <c r="DB645" s="17"/>
      <c r="DC645" s="17"/>
      <c r="DD645" s="17"/>
      <c r="DE645" s="17"/>
      <c r="DF645" s="17"/>
      <c r="DG645" s="17"/>
      <c r="DH645" s="17"/>
      <c r="DI645" s="17"/>
      <c r="DJ645" s="17"/>
      <c r="DK645" s="17"/>
      <c r="DL645" s="17"/>
      <c r="DM645" s="17"/>
      <c r="DN645" s="17"/>
      <c r="DO645" s="17"/>
      <c r="DP645" s="17"/>
      <c r="DQ645" s="17"/>
      <c r="DR645" s="17"/>
      <c r="DS645" s="17"/>
      <c r="DT645" s="17"/>
      <c r="DU645" s="17"/>
      <c r="DV645" s="17"/>
      <c r="DW645" s="17"/>
    </row>
    <row r="646" spans="1:127" ht="18" customHeight="1">
      <c r="A646" s="16"/>
      <c r="B646" s="16"/>
      <c r="C646" s="16"/>
      <c r="D646" s="16"/>
      <c r="E646" s="16"/>
      <c r="F646" s="16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  <c r="BK646" s="17"/>
      <c r="BL646" s="17"/>
      <c r="BM646" s="17"/>
      <c r="BN646" s="17"/>
      <c r="BO646" s="17"/>
      <c r="BP646" s="17"/>
      <c r="BQ646" s="17"/>
      <c r="BR646" s="17"/>
      <c r="BS646" s="17"/>
      <c r="BT646" s="17"/>
      <c r="BU646" s="17"/>
      <c r="BV646" s="17"/>
      <c r="BW646" s="17"/>
      <c r="BX646" s="17"/>
      <c r="BY646" s="17"/>
      <c r="BZ646" s="17"/>
      <c r="CA646" s="17"/>
      <c r="CB646" s="17"/>
      <c r="CC646" s="17"/>
      <c r="CD646" s="17"/>
      <c r="CE646" s="17"/>
      <c r="CF646" s="17"/>
      <c r="CG646" s="17"/>
      <c r="CH646" s="17"/>
      <c r="CI646" s="17"/>
      <c r="CJ646" s="17"/>
      <c r="CK646" s="17"/>
      <c r="CL646" s="17"/>
      <c r="CM646" s="17"/>
      <c r="CN646" s="17"/>
      <c r="CO646" s="17"/>
      <c r="CP646" s="17"/>
      <c r="CQ646" s="17"/>
      <c r="CR646" s="17"/>
      <c r="CS646" s="17"/>
      <c r="CT646" s="17"/>
      <c r="CU646" s="17"/>
      <c r="CV646" s="17"/>
      <c r="CW646" s="17"/>
      <c r="CX646" s="17"/>
      <c r="CY646" s="17"/>
      <c r="CZ646" s="17"/>
      <c r="DA646" s="17"/>
      <c r="DB646" s="17"/>
      <c r="DC646" s="17"/>
      <c r="DD646" s="17"/>
      <c r="DE646" s="17"/>
      <c r="DF646" s="17"/>
      <c r="DG646" s="17"/>
      <c r="DH646" s="17"/>
      <c r="DI646" s="17"/>
      <c r="DJ646" s="17"/>
      <c r="DK646" s="17"/>
      <c r="DL646" s="17"/>
      <c r="DM646" s="17"/>
      <c r="DN646" s="17"/>
      <c r="DO646" s="17"/>
      <c r="DP646" s="17"/>
      <c r="DQ646" s="17"/>
      <c r="DR646" s="17"/>
      <c r="DS646" s="17"/>
      <c r="DT646" s="17"/>
      <c r="DU646" s="17"/>
      <c r="DV646" s="17"/>
      <c r="DW646" s="17"/>
    </row>
    <row r="647" spans="1:127" ht="18" customHeight="1">
      <c r="A647" s="16"/>
      <c r="B647" s="16"/>
      <c r="C647" s="16"/>
      <c r="D647" s="16"/>
      <c r="E647" s="16"/>
      <c r="F647" s="16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  <c r="BK647" s="17"/>
      <c r="BL647" s="17"/>
      <c r="BM647" s="17"/>
      <c r="BN647" s="17"/>
      <c r="BO647" s="17"/>
      <c r="BP647" s="17"/>
      <c r="BQ647" s="17"/>
      <c r="BR647" s="17"/>
      <c r="BS647" s="17"/>
      <c r="BT647" s="17"/>
      <c r="BU647" s="17"/>
      <c r="BV647" s="17"/>
      <c r="BW647" s="17"/>
      <c r="BX647" s="17"/>
      <c r="BY647" s="17"/>
      <c r="BZ647" s="17"/>
      <c r="CA647" s="17"/>
      <c r="CB647" s="17"/>
      <c r="CC647" s="17"/>
      <c r="CD647" s="17"/>
      <c r="CE647" s="17"/>
      <c r="CF647" s="17"/>
      <c r="CG647" s="17"/>
      <c r="CH647" s="17"/>
      <c r="CI647" s="17"/>
      <c r="CJ647" s="17"/>
      <c r="CK647" s="17"/>
      <c r="CL647" s="17"/>
      <c r="CM647" s="17"/>
      <c r="CN647" s="17"/>
      <c r="CO647" s="17"/>
      <c r="CP647" s="17"/>
      <c r="CQ647" s="17"/>
      <c r="CR647" s="17"/>
      <c r="CS647" s="17"/>
      <c r="CT647" s="17"/>
      <c r="CU647" s="17"/>
      <c r="CV647" s="17"/>
      <c r="CW647" s="17"/>
      <c r="CX647" s="17"/>
      <c r="CY647" s="17"/>
      <c r="CZ647" s="17"/>
      <c r="DA647" s="17"/>
      <c r="DB647" s="17"/>
      <c r="DC647" s="17"/>
      <c r="DD647" s="17"/>
      <c r="DE647" s="17"/>
      <c r="DF647" s="17"/>
      <c r="DG647" s="17"/>
      <c r="DH647" s="17"/>
      <c r="DI647" s="17"/>
      <c r="DJ647" s="17"/>
      <c r="DK647" s="17"/>
      <c r="DL647" s="17"/>
      <c r="DM647" s="17"/>
      <c r="DN647" s="17"/>
      <c r="DO647" s="17"/>
      <c r="DP647" s="17"/>
      <c r="DQ647" s="17"/>
      <c r="DR647" s="17"/>
      <c r="DS647" s="17"/>
      <c r="DT647" s="17"/>
      <c r="DU647" s="17"/>
      <c r="DV647" s="17"/>
      <c r="DW647" s="17"/>
    </row>
    <row r="648" spans="1:127" ht="18" customHeight="1">
      <c r="A648" s="16"/>
      <c r="B648" s="16"/>
      <c r="C648" s="16"/>
      <c r="D648" s="16"/>
      <c r="E648" s="16"/>
      <c r="F648" s="16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  <c r="BK648" s="17"/>
      <c r="BL648" s="17"/>
      <c r="BM648" s="17"/>
      <c r="BN648" s="17"/>
      <c r="BO648" s="17"/>
      <c r="BP648" s="17"/>
      <c r="BQ648" s="17"/>
      <c r="BR648" s="17"/>
      <c r="BS648" s="17"/>
      <c r="BT648" s="17"/>
      <c r="BU648" s="17"/>
      <c r="BV648" s="17"/>
      <c r="BW648" s="17"/>
      <c r="BX648" s="17"/>
      <c r="BY648" s="17"/>
      <c r="BZ648" s="17"/>
      <c r="CA648" s="17"/>
      <c r="CB648" s="17"/>
      <c r="CC648" s="17"/>
      <c r="CD648" s="17"/>
      <c r="CE648" s="17"/>
      <c r="CF648" s="17"/>
      <c r="CG648" s="17"/>
      <c r="CH648" s="17"/>
      <c r="CI648" s="17"/>
      <c r="CJ648" s="17"/>
      <c r="CK648" s="17"/>
      <c r="CL648" s="17"/>
      <c r="CM648" s="17"/>
      <c r="CN648" s="17"/>
      <c r="CO648" s="17"/>
      <c r="CP648" s="17"/>
      <c r="CQ648" s="17"/>
      <c r="CR648" s="17"/>
      <c r="CS648" s="17"/>
      <c r="CT648" s="17"/>
      <c r="CU648" s="17"/>
      <c r="CV648" s="17"/>
      <c r="CW648" s="17"/>
      <c r="CX648" s="17"/>
      <c r="CY648" s="17"/>
      <c r="CZ648" s="17"/>
      <c r="DA648" s="17"/>
      <c r="DB648" s="17"/>
      <c r="DC648" s="17"/>
      <c r="DD648" s="17"/>
      <c r="DE648" s="17"/>
      <c r="DF648" s="17"/>
      <c r="DG648" s="17"/>
      <c r="DH648" s="17"/>
      <c r="DI648" s="17"/>
      <c r="DJ648" s="17"/>
      <c r="DK648" s="17"/>
      <c r="DL648" s="17"/>
      <c r="DM648" s="17"/>
      <c r="DN648" s="17"/>
      <c r="DO648" s="17"/>
      <c r="DP648" s="17"/>
      <c r="DQ648" s="17"/>
      <c r="DR648" s="17"/>
      <c r="DS648" s="17"/>
      <c r="DT648" s="17"/>
      <c r="DU648" s="17"/>
      <c r="DV648" s="17"/>
      <c r="DW648" s="17"/>
    </row>
    <row r="649" spans="1:127" ht="18" customHeight="1">
      <c r="A649" s="16"/>
      <c r="B649" s="16"/>
      <c r="C649" s="16"/>
      <c r="D649" s="16"/>
      <c r="E649" s="16"/>
      <c r="F649" s="16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  <c r="BK649" s="17"/>
      <c r="BL649" s="17"/>
      <c r="BM649" s="17"/>
      <c r="BN649" s="17"/>
      <c r="BO649" s="17"/>
      <c r="BP649" s="17"/>
      <c r="BQ649" s="17"/>
      <c r="BR649" s="17"/>
      <c r="BS649" s="17"/>
      <c r="BT649" s="17"/>
      <c r="BU649" s="17"/>
      <c r="BV649" s="17"/>
      <c r="BW649" s="17"/>
      <c r="BX649" s="17"/>
      <c r="BY649" s="17"/>
      <c r="BZ649" s="17"/>
      <c r="CA649" s="17"/>
      <c r="CB649" s="17"/>
      <c r="CC649" s="17"/>
      <c r="CD649" s="17"/>
      <c r="CE649" s="17"/>
      <c r="CF649" s="17"/>
      <c r="CG649" s="17"/>
      <c r="CH649" s="17"/>
      <c r="CI649" s="17"/>
      <c r="CJ649" s="17"/>
      <c r="CK649" s="17"/>
      <c r="CL649" s="17"/>
      <c r="CM649" s="17"/>
      <c r="CN649" s="17"/>
      <c r="CO649" s="17"/>
      <c r="CP649" s="17"/>
      <c r="CQ649" s="17"/>
      <c r="CR649" s="17"/>
      <c r="CS649" s="17"/>
      <c r="CT649" s="17"/>
      <c r="CU649" s="17"/>
      <c r="CV649" s="17"/>
      <c r="CW649" s="17"/>
      <c r="CX649" s="17"/>
      <c r="CY649" s="17"/>
      <c r="CZ649" s="17"/>
      <c r="DA649" s="17"/>
      <c r="DB649" s="17"/>
      <c r="DC649" s="17"/>
      <c r="DD649" s="17"/>
      <c r="DE649" s="17"/>
      <c r="DF649" s="17"/>
      <c r="DG649" s="17"/>
      <c r="DH649" s="17"/>
      <c r="DI649" s="17"/>
      <c r="DJ649" s="17"/>
      <c r="DK649" s="17"/>
      <c r="DL649" s="17"/>
      <c r="DM649" s="17"/>
      <c r="DN649" s="17"/>
      <c r="DO649" s="17"/>
      <c r="DP649" s="17"/>
      <c r="DQ649" s="17"/>
      <c r="DR649" s="17"/>
      <c r="DS649" s="17"/>
      <c r="DT649" s="17"/>
      <c r="DU649" s="17"/>
      <c r="DV649" s="17"/>
      <c r="DW649" s="17"/>
    </row>
    <row r="650" spans="1:127" ht="18" customHeight="1">
      <c r="A650" s="16"/>
      <c r="B650" s="16"/>
      <c r="C650" s="16"/>
      <c r="D650" s="16"/>
      <c r="E650" s="16"/>
      <c r="F650" s="16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  <c r="BK650" s="17"/>
      <c r="BL650" s="17"/>
      <c r="BM650" s="17"/>
      <c r="BN650" s="17"/>
      <c r="BO650" s="17"/>
      <c r="BP650" s="17"/>
      <c r="BQ650" s="17"/>
      <c r="BR650" s="17"/>
      <c r="BS650" s="17"/>
      <c r="BT650" s="17"/>
      <c r="BU650" s="17"/>
      <c r="BV650" s="17"/>
      <c r="BW650" s="17"/>
      <c r="BX650" s="17"/>
      <c r="BY650" s="17"/>
      <c r="BZ650" s="17"/>
      <c r="CA650" s="17"/>
      <c r="CB650" s="17"/>
      <c r="CC650" s="17"/>
      <c r="CD650" s="17"/>
      <c r="CE650" s="17"/>
      <c r="CF650" s="17"/>
      <c r="CG650" s="17"/>
      <c r="CH650" s="17"/>
      <c r="CI650" s="17"/>
      <c r="CJ650" s="17"/>
      <c r="CK650" s="17"/>
      <c r="CL650" s="17"/>
      <c r="CM650" s="17"/>
      <c r="CN650" s="17"/>
      <c r="CO650" s="17"/>
      <c r="CP650" s="17"/>
      <c r="CQ650" s="17"/>
      <c r="CR650" s="17"/>
      <c r="CS650" s="17"/>
      <c r="CT650" s="17"/>
      <c r="CU650" s="17"/>
      <c r="CV650" s="17"/>
      <c r="CW650" s="17"/>
      <c r="CX650" s="17"/>
      <c r="CY650" s="17"/>
      <c r="CZ650" s="17"/>
      <c r="DA650" s="17"/>
      <c r="DB650" s="17"/>
      <c r="DC650" s="17"/>
      <c r="DD650" s="17"/>
      <c r="DE650" s="17"/>
      <c r="DF650" s="17"/>
      <c r="DG650" s="17"/>
      <c r="DH650" s="17"/>
      <c r="DI650" s="17"/>
      <c r="DJ650" s="17"/>
      <c r="DK650" s="17"/>
      <c r="DL650" s="17"/>
      <c r="DM650" s="17"/>
      <c r="DN650" s="17"/>
      <c r="DO650" s="17"/>
      <c r="DP650" s="17"/>
      <c r="DQ650" s="17"/>
      <c r="DR650" s="17"/>
      <c r="DS650" s="17"/>
      <c r="DT650" s="17"/>
      <c r="DU650" s="17"/>
      <c r="DV650" s="17"/>
      <c r="DW650" s="17"/>
    </row>
    <row r="651" spans="1:127" ht="18" customHeight="1">
      <c r="A651" s="16"/>
      <c r="B651" s="16"/>
      <c r="C651" s="16"/>
      <c r="D651" s="16"/>
      <c r="E651" s="16"/>
      <c r="F651" s="16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  <c r="BK651" s="17"/>
      <c r="BL651" s="17"/>
      <c r="BM651" s="17"/>
      <c r="BN651" s="17"/>
      <c r="BO651" s="17"/>
      <c r="BP651" s="17"/>
      <c r="BQ651" s="17"/>
      <c r="BR651" s="17"/>
      <c r="BS651" s="17"/>
      <c r="BT651" s="17"/>
      <c r="BU651" s="17"/>
      <c r="BV651" s="17"/>
      <c r="BW651" s="17"/>
      <c r="BX651" s="17"/>
      <c r="BY651" s="17"/>
      <c r="BZ651" s="17"/>
      <c r="CA651" s="17"/>
      <c r="CB651" s="17"/>
      <c r="CC651" s="17"/>
      <c r="CD651" s="17"/>
      <c r="CE651" s="17"/>
      <c r="CF651" s="17"/>
      <c r="CG651" s="17"/>
      <c r="CH651" s="17"/>
      <c r="CI651" s="17"/>
      <c r="CJ651" s="17"/>
      <c r="CK651" s="17"/>
      <c r="CL651" s="17"/>
      <c r="CM651" s="17"/>
      <c r="CN651" s="17"/>
      <c r="CO651" s="17"/>
      <c r="CP651" s="17"/>
      <c r="CQ651" s="17"/>
      <c r="CR651" s="17"/>
      <c r="CS651" s="17"/>
      <c r="CT651" s="17"/>
      <c r="CU651" s="17"/>
      <c r="CV651" s="17"/>
      <c r="CW651" s="17"/>
      <c r="CX651" s="17"/>
      <c r="CY651" s="17"/>
      <c r="CZ651" s="17"/>
      <c r="DA651" s="17"/>
      <c r="DB651" s="17"/>
      <c r="DC651" s="17"/>
      <c r="DD651" s="17"/>
      <c r="DE651" s="17"/>
      <c r="DF651" s="17"/>
      <c r="DG651" s="17"/>
      <c r="DH651" s="17"/>
      <c r="DI651" s="17"/>
      <c r="DJ651" s="17"/>
      <c r="DK651" s="17"/>
      <c r="DL651" s="17"/>
      <c r="DM651" s="17"/>
      <c r="DN651" s="17"/>
      <c r="DO651" s="17"/>
      <c r="DP651" s="17"/>
      <c r="DQ651" s="17"/>
      <c r="DR651" s="17"/>
      <c r="DS651" s="17"/>
      <c r="DT651" s="17"/>
      <c r="DU651" s="17"/>
      <c r="DV651" s="17"/>
      <c r="DW651" s="17"/>
    </row>
    <row r="652" spans="1:127" ht="18" customHeight="1">
      <c r="A652" s="16"/>
      <c r="B652" s="16"/>
      <c r="C652" s="16"/>
      <c r="D652" s="16"/>
      <c r="E652" s="16"/>
      <c r="F652" s="16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  <c r="BK652" s="17"/>
      <c r="BL652" s="17"/>
      <c r="BM652" s="17"/>
      <c r="BN652" s="17"/>
      <c r="BO652" s="17"/>
      <c r="BP652" s="17"/>
      <c r="BQ652" s="17"/>
      <c r="BR652" s="17"/>
      <c r="BS652" s="17"/>
      <c r="BT652" s="17"/>
      <c r="BU652" s="17"/>
      <c r="BV652" s="17"/>
      <c r="BW652" s="17"/>
      <c r="BX652" s="17"/>
      <c r="BY652" s="17"/>
      <c r="BZ652" s="17"/>
      <c r="CA652" s="17"/>
      <c r="CB652" s="17"/>
      <c r="CC652" s="17"/>
      <c r="CD652" s="17"/>
      <c r="CE652" s="17"/>
      <c r="CF652" s="17"/>
      <c r="CG652" s="17"/>
      <c r="CH652" s="17"/>
      <c r="CI652" s="17"/>
      <c r="CJ652" s="17"/>
      <c r="CK652" s="17"/>
      <c r="CL652" s="17"/>
      <c r="CM652" s="17"/>
      <c r="CN652" s="17"/>
      <c r="CO652" s="17"/>
      <c r="CP652" s="17"/>
      <c r="CQ652" s="17"/>
      <c r="CR652" s="17"/>
      <c r="CS652" s="17"/>
      <c r="CT652" s="17"/>
      <c r="CU652" s="17"/>
      <c r="CV652" s="17"/>
      <c r="CW652" s="17"/>
      <c r="CX652" s="17"/>
      <c r="CY652" s="17"/>
      <c r="CZ652" s="17"/>
      <c r="DA652" s="17"/>
      <c r="DB652" s="17"/>
      <c r="DC652" s="17"/>
      <c r="DD652" s="17"/>
      <c r="DE652" s="17"/>
      <c r="DF652" s="17"/>
      <c r="DG652" s="17"/>
      <c r="DH652" s="17"/>
      <c r="DI652" s="17"/>
      <c r="DJ652" s="17"/>
      <c r="DK652" s="17"/>
      <c r="DL652" s="17"/>
      <c r="DM652" s="17"/>
      <c r="DN652" s="17"/>
      <c r="DO652" s="17"/>
      <c r="DP652" s="17"/>
      <c r="DQ652" s="17"/>
      <c r="DR652" s="17"/>
      <c r="DS652" s="17"/>
      <c r="DT652" s="17"/>
      <c r="DU652" s="17"/>
      <c r="DV652" s="17"/>
      <c r="DW652" s="17"/>
    </row>
    <row r="653" spans="1:127" ht="18" customHeight="1">
      <c r="A653" s="16"/>
      <c r="B653" s="16"/>
      <c r="C653" s="16"/>
      <c r="D653" s="16"/>
      <c r="E653" s="16"/>
      <c r="F653" s="16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  <c r="CR653" s="17"/>
      <c r="CS653" s="17"/>
      <c r="CT653" s="17"/>
      <c r="CU653" s="17"/>
      <c r="CV653" s="17"/>
      <c r="CW653" s="17"/>
      <c r="CX653" s="17"/>
      <c r="CY653" s="17"/>
      <c r="CZ653" s="17"/>
      <c r="DA653" s="17"/>
      <c r="DB653" s="17"/>
      <c r="DC653" s="17"/>
      <c r="DD653" s="17"/>
      <c r="DE653" s="17"/>
      <c r="DF653" s="17"/>
      <c r="DG653" s="17"/>
      <c r="DH653" s="17"/>
      <c r="DI653" s="17"/>
      <c r="DJ653" s="17"/>
      <c r="DK653" s="17"/>
      <c r="DL653" s="17"/>
      <c r="DM653" s="17"/>
      <c r="DN653" s="17"/>
      <c r="DO653" s="17"/>
      <c r="DP653" s="17"/>
      <c r="DQ653" s="17"/>
      <c r="DR653" s="17"/>
      <c r="DS653" s="17"/>
      <c r="DT653" s="17"/>
      <c r="DU653" s="17"/>
      <c r="DV653" s="17"/>
      <c r="DW653" s="17"/>
    </row>
    <row r="654" spans="1:127" ht="18" customHeight="1">
      <c r="A654" s="16"/>
      <c r="B654" s="16"/>
      <c r="C654" s="16"/>
      <c r="D654" s="16"/>
      <c r="E654" s="16"/>
      <c r="F654" s="16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  <c r="BK654" s="17"/>
      <c r="BL654" s="17"/>
      <c r="BM654" s="17"/>
      <c r="BN654" s="17"/>
      <c r="BO654" s="17"/>
      <c r="BP654" s="17"/>
      <c r="BQ654" s="17"/>
      <c r="BR654" s="17"/>
      <c r="BS654" s="17"/>
      <c r="BT654" s="17"/>
      <c r="BU654" s="17"/>
      <c r="BV654" s="17"/>
      <c r="BW654" s="17"/>
      <c r="BX654" s="17"/>
      <c r="BY654" s="17"/>
      <c r="BZ654" s="17"/>
      <c r="CA654" s="17"/>
      <c r="CB654" s="17"/>
      <c r="CC654" s="17"/>
      <c r="CD654" s="17"/>
      <c r="CE654" s="17"/>
      <c r="CF654" s="17"/>
      <c r="CG654" s="17"/>
      <c r="CH654" s="17"/>
      <c r="CI654" s="17"/>
      <c r="CJ654" s="17"/>
      <c r="CK654" s="17"/>
      <c r="CL654" s="17"/>
      <c r="CM654" s="17"/>
      <c r="CN654" s="17"/>
      <c r="CO654" s="17"/>
      <c r="CP654" s="17"/>
      <c r="CQ654" s="17"/>
      <c r="CR654" s="17"/>
      <c r="CS654" s="17"/>
      <c r="CT654" s="17"/>
      <c r="CU654" s="17"/>
      <c r="CV654" s="17"/>
      <c r="CW654" s="17"/>
      <c r="CX654" s="17"/>
      <c r="CY654" s="17"/>
      <c r="CZ654" s="17"/>
      <c r="DA654" s="17"/>
      <c r="DB654" s="17"/>
      <c r="DC654" s="17"/>
      <c r="DD654" s="17"/>
      <c r="DE654" s="17"/>
      <c r="DF654" s="17"/>
      <c r="DG654" s="17"/>
      <c r="DH654" s="17"/>
      <c r="DI654" s="17"/>
      <c r="DJ654" s="17"/>
      <c r="DK654" s="17"/>
      <c r="DL654" s="17"/>
      <c r="DM654" s="17"/>
      <c r="DN654" s="17"/>
      <c r="DO654" s="17"/>
      <c r="DP654" s="17"/>
      <c r="DQ654" s="17"/>
      <c r="DR654" s="17"/>
      <c r="DS654" s="17"/>
      <c r="DT654" s="17"/>
      <c r="DU654" s="17"/>
      <c r="DV654" s="17"/>
      <c r="DW654" s="17"/>
    </row>
    <row r="655" spans="1:127" ht="18" customHeight="1">
      <c r="A655" s="16"/>
      <c r="B655" s="16"/>
      <c r="C655" s="16"/>
      <c r="D655" s="16"/>
      <c r="E655" s="16"/>
      <c r="F655" s="16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  <c r="BS655" s="17"/>
      <c r="BT655" s="17"/>
      <c r="BU655" s="17"/>
      <c r="BV655" s="17"/>
      <c r="BW655" s="17"/>
      <c r="BX655" s="17"/>
      <c r="BY655" s="17"/>
      <c r="BZ655" s="17"/>
      <c r="CA655" s="17"/>
      <c r="CB655" s="17"/>
      <c r="CC655" s="17"/>
      <c r="CD655" s="17"/>
      <c r="CE655" s="17"/>
      <c r="CF655" s="17"/>
      <c r="CG655" s="17"/>
      <c r="CH655" s="17"/>
      <c r="CI655" s="17"/>
      <c r="CJ655" s="17"/>
      <c r="CK655" s="17"/>
      <c r="CL655" s="17"/>
      <c r="CM655" s="17"/>
      <c r="CN655" s="17"/>
      <c r="CO655" s="17"/>
      <c r="CP655" s="17"/>
      <c r="CQ655" s="17"/>
      <c r="CR655" s="17"/>
      <c r="CS655" s="17"/>
      <c r="CT655" s="17"/>
      <c r="CU655" s="17"/>
      <c r="CV655" s="17"/>
      <c r="CW655" s="17"/>
      <c r="CX655" s="17"/>
      <c r="CY655" s="17"/>
      <c r="CZ655" s="17"/>
      <c r="DA655" s="17"/>
      <c r="DB655" s="17"/>
      <c r="DC655" s="17"/>
      <c r="DD655" s="17"/>
      <c r="DE655" s="17"/>
      <c r="DF655" s="17"/>
      <c r="DG655" s="17"/>
      <c r="DH655" s="17"/>
      <c r="DI655" s="17"/>
      <c r="DJ655" s="17"/>
      <c r="DK655" s="17"/>
      <c r="DL655" s="17"/>
      <c r="DM655" s="17"/>
      <c r="DN655" s="17"/>
      <c r="DO655" s="17"/>
      <c r="DP655" s="17"/>
      <c r="DQ655" s="17"/>
      <c r="DR655" s="17"/>
      <c r="DS655" s="17"/>
      <c r="DT655" s="17"/>
      <c r="DU655" s="17"/>
      <c r="DV655" s="17"/>
      <c r="DW655" s="17"/>
    </row>
    <row r="656" spans="1:127" ht="18" customHeight="1">
      <c r="A656" s="16"/>
      <c r="B656" s="16"/>
      <c r="C656" s="16"/>
      <c r="D656" s="16"/>
      <c r="E656" s="16"/>
      <c r="F656" s="16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  <c r="BK656" s="17"/>
      <c r="BL656" s="17"/>
      <c r="BM656" s="17"/>
      <c r="BN656" s="17"/>
      <c r="BO656" s="17"/>
      <c r="BP656" s="17"/>
      <c r="BQ656" s="17"/>
      <c r="BR656" s="17"/>
      <c r="BS656" s="17"/>
      <c r="BT656" s="17"/>
      <c r="BU656" s="17"/>
      <c r="BV656" s="17"/>
      <c r="BW656" s="17"/>
      <c r="BX656" s="17"/>
      <c r="BY656" s="17"/>
      <c r="BZ656" s="17"/>
      <c r="CA656" s="17"/>
      <c r="CB656" s="17"/>
      <c r="CC656" s="17"/>
      <c r="CD656" s="17"/>
      <c r="CE656" s="17"/>
      <c r="CF656" s="17"/>
      <c r="CG656" s="17"/>
      <c r="CH656" s="17"/>
      <c r="CI656" s="17"/>
      <c r="CJ656" s="17"/>
      <c r="CK656" s="17"/>
      <c r="CL656" s="17"/>
      <c r="CM656" s="17"/>
      <c r="CN656" s="17"/>
      <c r="CO656" s="17"/>
      <c r="CP656" s="17"/>
      <c r="CQ656" s="17"/>
      <c r="CR656" s="17"/>
      <c r="CS656" s="17"/>
      <c r="CT656" s="17"/>
      <c r="CU656" s="17"/>
      <c r="CV656" s="17"/>
      <c r="CW656" s="17"/>
      <c r="CX656" s="17"/>
      <c r="CY656" s="17"/>
      <c r="CZ656" s="17"/>
      <c r="DA656" s="17"/>
      <c r="DB656" s="17"/>
      <c r="DC656" s="17"/>
      <c r="DD656" s="17"/>
      <c r="DE656" s="17"/>
      <c r="DF656" s="17"/>
      <c r="DG656" s="17"/>
      <c r="DH656" s="17"/>
      <c r="DI656" s="17"/>
      <c r="DJ656" s="17"/>
      <c r="DK656" s="17"/>
      <c r="DL656" s="17"/>
      <c r="DM656" s="17"/>
      <c r="DN656" s="17"/>
      <c r="DO656" s="17"/>
      <c r="DP656" s="17"/>
      <c r="DQ656" s="17"/>
      <c r="DR656" s="17"/>
      <c r="DS656" s="17"/>
      <c r="DT656" s="17"/>
      <c r="DU656" s="17"/>
      <c r="DV656" s="17"/>
      <c r="DW656" s="17"/>
    </row>
    <row r="657" spans="1:127" ht="18" customHeight="1">
      <c r="A657" s="16"/>
      <c r="B657" s="16"/>
      <c r="C657" s="16"/>
      <c r="D657" s="16"/>
      <c r="E657" s="16"/>
      <c r="F657" s="16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  <c r="BK657" s="17"/>
      <c r="BL657" s="17"/>
      <c r="BM657" s="17"/>
      <c r="BN657" s="17"/>
      <c r="BO657" s="17"/>
      <c r="BP657" s="17"/>
      <c r="BQ657" s="17"/>
      <c r="BR657" s="17"/>
      <c r="BS657" s="17"/>
      <c r="BT657" s="17"/>
      <c r="BU657" s="17"/>
      <c r="BV657" s="17"/>
      <c r="BW657" s="17"/>
      <c r="BX657" s="17"/>
      <c r="BY657" s="17"/>
      <c r="BZ657" s="17"/>
      <c r="CA657" s="17"/>
      <c r="CB657" s="17"/>
      <c r="CC657" s="17"/>
      <c r="CD657" s="17"/>
      <c r="CE657" s="17"/>
      <c r="CF657" s="17"/>
      <c r="CG657" s="17"/>
      <c r="CH657" s="17"/>
      <c r="CI657" s="17"/>
      <c r="CJ657" s="17"/>
      <c r="CK657" s="17"/>
      <c r="CL657" s="17"/>
      <c r="CM657" s="17"/>
      <c r="CN657" s="17"/>
      <c r="CO657" s="17"/>
      <c r="CP657" s="17"/>
      <c r="CQ657" s="17"/>
      <c r="CR657" s="17"/>
      <c r="CS657" s="17"/>
      <c r="CT657" s="17"/>
      <c r="CU657" s="17"/>
      <c r="CV657" s="17"/>
      <c r="CW657" s="17"/>
      <c r="CX657" s="17"/>
      <c r="CY657" s="17"/>
      <c r="CZ657" s="17"/>
      <c r="DA657" s="17"/>
      <c r="DB657" s="17"/>
      <c r="DC657" s="17"/>
      <c r="DD657" s="17"/>
      <c r="DE657" s="17"/>
      <c r="DF657" s="17"/>
      <c r="DG657" s="17"/>
      <c r="DH657" s="17"/>
      <c r="DI657" s="17"/>
      <c r="DJ657" s="17"/>
      <c r="DK657" s="17"/>
      <c r="DL657" s="17"/>
      <c r="DM657" s="17"/>
      <c r="DN657" s="17"/>
      <c r="DO657" s="17"/>
      <c r="DP657" s="17"/>
      <c r="DQ657" s="17"/>
      <c r="DR657" s="17"/>
      <c r="DS657" s="17"/>
      <c r="DT657" s="17"/>
      <c r="DU657" s="17"/>
      <c r="DV657" s="17"/>
      <c r="DW657" s="17"/>
    </row>
    <row r="658" spans="1:127" ht="18" customHeight="1">
      <c r="A658" s="16"/>
      <c r="B658" s="16"/>
      <c r="C658" s="16"/>
      <c r="D658" s="16"/>
      <c r="E658" s="16"/>
      <c r="F658" s="16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  <c r="BK658" s="17"/>
      <c r="BL658" s="17"/>
      <c r="BM658" s="17"/>
      <c r="BN658" s="17"/>
      <c r="BO658" s="17"/>
      <c r="BP658" s="17"/>
      <c r="BQ658" s="17"/>
      <c r="BR658" s="17"/>
      <c r="BS658" s="17"/>
      <c r="BT658" s="17"/>
      <c r="BU658" s="17"/>
      <c r="BV658" s="17"/>
      <c r="BW658" s="17"/>
      <c r="BX658" s="17"/>
      <c r="BY658" s="17"/>
      <c r="BZ658" s="17"/>
      <c r="CA658" s="17"/>
      <c r="CB658" s="17"/>
      <c r="CC658" s="17"/>
      <c r="CD658" s="17"/>
      <c r="CE658" s="17"/>
      <c r="CF658" s="17"/>
      <c r="CG658" s="17"/>
      <c r="CH658" s="17"/>
      <c r="CI658" s="17"/>
      <c r="CJ658" s="17"/>
      <c r="CK658" s="17"/>
      <c r="CL658" s="17"/>
      <c r="CM658" s="17"/>
      <c r="CN658" s="17"/>
      <c r="CO658" s="17"/>
      <c r="CP658" s="17"/>
      <c r="CQ658" s="17"/>
      <c r="CR658" s="17"/>
      <c r="CS658" s="17"/>
      <c r="CT658" s="17"/>
      <c r="CU658" s="17"/>
      <c r="CV658" s="17"/>
      <c r="CW658" s="17"/>
      <c r="CX658" s="17"/>
      <c r="CY658" s="17"/>
      <c r="CZ658" s="17"/>
      <c r="DA658" s="17"/>
      <c r="DB658" s="17"/>
      <c r="DC658" s="17"/>
      <c r="DD658" s="17"/>
      <c r="DE658" s="17"/>
      <c r="DF658" s="17"/>
      <c r="DG658" s="17"/>
      <c r="DH658" s="17"/>
      <c r="DI658" s="17"/>
      <c r="DJ658" s="17"/>
      <c r="DK658" s="17"/>
      <c r="DL658" s="17"/>
      <c r="DM658" s="17"/>
      <c r="DN658" s="17"/>
      <c r="DO658" s="17"/>
      <c r="DP658" s="17"/>
      <c r="DQ658" s="17"/>
      <c r="DR658" s="17"/>
      <c r="DS658" s="17"/>
      <c r="DT658" s="17"/>
      <c r="DU658" s="17"/>
      <c r="DV658" s="17"/>
      <c r="DW658" s="17"/>
    </row>
    <row r="659" spans="1:127" ht="18" customHeight="1">
      <c r="A659" s="16"/>
      <c r="B659" s="16"/>
      <c r="C659" s="16"/>
      <c r="D659" s="16"/>
      <c r="E659" s="16"/>
      <c r="F659" s="16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  <c r="BK659" s="17"/>
      <c r="BL659" s="17"/>
      <c r="BM659" s="17"/>
      <c r="BN659" s="17"/>
      <c r="BO659" s="17"/>
      <c r="BP659" s="17"/>
      <c r="BQ659" s="17"/>
      <c r="BR659" s="17"/>
      <c r="BS659" s="17"/>
      <c r="BT659" s="17"/>
      <c r="BU659" s="17"/>
      <c r="BV659" s="17"/>
      <c r="BW659" s="17"/>
      <c r="BX659" s="17"/>
      <c r="BY659" s="17"/>
      <c r="BZ659" s="17"/>
      <c r="CA659" s="17"/>
      <c r="CB659" s="17"/>
      <c r="CC659" s="17"/>
      <c r="CD659" s="17"/>
      <c r="CE659" s="17"/>
      <c r="CF659" s="17"/>
      <c r="CG659" s="17"/>
      <c r="CH659" s="17"/>
      <c r="CI659" s="17"/>
      <c r="CJ659" s="17"/>
      <c r="CK659" s="17"/>
      <c r="CL659" s="17"/>
      <c r="CM659" s="17"/>
      <c r="CN659" s="17"/>
      <c r="CO659" s="17"/>
      <c r="CP659" s="17"/>
      <c r="CQ659" s="17"/>
      <c r="CR659" s="17"/>
      <c r="CS659" s="17"/>
      <c r="CT659" s="17"/>
      <c r="CU659" s="17"/>
      <c r="CV659" s="17"/>
      <c r="CW659" s="17"/>
      <c r="CX659" s="17"/>
      <c r="CY659" s="17"/>
      <c r="CZ659" s="17"/>
      <c r="DA659" s="17"/>
      <c r="DB659" s="17"/>
      <c r="DC659" s="17"/>
      <c r="DD659" s="17"/>
      <c r="DE659" s="17"/>
      <c r="DF659" s="17"/>
      <c r="DG659" s="17"/>
      <c r="DH659" s="17"/>
      <c r="DI659" s="17"/>
      <c r="DJ659" s="17"/>
      <c r="DK659" s="17"/>
      <c r="DL659" s="17"/>
      <c r="DM659" s="17"/>
      <c r="DN659" s="17"/>
      <c r="DO659" s="17"/>
      <c r="DP659" s="17"/>
      <c r="DQ659" s="17"/>
      <c r="DR659" s="17"/>
      <c r="DS659" s="17"/>
      <c r="DT659" s="17"/>
      <c r="DU659" s="17"/>
      <c r="DV659" s="17"/>
      <c r="DW659" s="17"/>
    </row>
    <row r="660" spans="1:127" ht="18" customHeight="1">
      <c r="A660" s="16"/>
      <c r="B660" s="16"/>
      <c r="C660" s="16"/>
      <c r="D660" s="16"/>
      <c r="E660" s="16"/>
      <c r="F660" s="16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  <c r="BK660" s="17"/>
      <c r="BL660" s="17"/>
      <c r="BM660" s="17"/>
      <c r="BN660" s="17"/>
      <c r="BO660" s="17"/>
      <c r="BP660" s="17"/>
      <c r="BQ660" s="17"/>
      <c r="BR660" s="17"/>
      <c r="BS660" s="17"/>
      <c r="BT660" s="17"/>
      <c r="BU660" s="17"/>
      <c r="BV660" s="17"/>
      <c r="BW660" s="17"/>
      <c r="BX660" s="17"/>
      <c r="BY660" s="17"/>
      <c r="BZ660" s="17"/>
      <c r="CA660" s="17"/>
      <c r="CB660" s="17"/>
      <c r="CC660" s="17"/>
      <c r="CD660" s="17"/>
      <c r="CE660" s="17"/>
      <c r="CF660" s="17"/>
      <c r="CG660" s="17"/>
      <c r="CH660" s="17"/>
      <c r="CI660" s="17"/>
      <c r="CJ660" s="17"/>
      <c r="CK660" s="17"/>
      <c r="CL660" s="17"/>
      <c r="CM660" s="17"/>
      <c r="CN660" s="17"/>
      <c r="CO660" s="17"/>
      <c r="CP660" s="17"/>
      <c r="CQ660" s="17"/>
      <c r="CR660" s="17"/>
      <c r="CS660" s="17"/>
      <c r="CT660" s="17"/>
      <c r="CU660" s="17"/>
      <c r="CV660" s="17"/>
      <c r="CW660" s="17"/>
      <c r="CX660" s="17"/>
      <c r="CY660" s="17"/>
      <c r="CZ660" s="17"/>
      <c r="DA660" s="17"/>
      <c r="DB660" s="17"/>
      <c r="DC660" s="17"/>
      <c r="DD660" s="17"/>
      <c r="DE660" s="17"/>
      <c r="DF660" s="17"/>
      <c r="DG660" s="17"/>
      <c r="DH660" s="17"/>
      <c r="DI660" s="17"/>
      <c r="DJ660" s="17"/>
      <c r="DK660" s="17"/>
      <c r="DL660" s="17"/>
      <c r="DM660" s="17"/>
      <c r="DN660" s="17"/>
      <c r="DO660" s="17"/>
      <c r="DP660" s="17"/>
      <c r="DQ660" s="17"/>
      <c r="DR660" s="17"/>
      <c r="DS660" s="17"/>
      <c r="DT660" s="17"/>
      <c r="DU660" s="17"/>
      <c r="DV660" s="17"/>
      <c r="DW660" s="17"/>
    </row>
    <row r="661" spans="1:127" ht="18" customHeight="1">
      <c r="A661" s="16"/>
      <c r="B661" s="16"/>
      <c r="C661" s="16"/>
      <c r="D661" s="16"/>
      <c r="E661" s="16"/>
      <c r="F661" s="16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  <c r="BK661" s="17"/>
      <c r="BL661" s="17"/>
      <c r="BM661" s="17"/>
      <c r="BN661" s="17"/>
      <c r="BO661" s="17"/>
      <c r="BP661" s="17"/>
      <c r="BQ661" s="17"/>
      <c r="BR661" s="17"/>
      <c r="BS661" s="17"/>
      <c r="BT661" s="17"/>
      <c r="BU661" s="17"/>
      <c r="BV661" s="17"/>
      <c r="BW661" s="17"/>
      <c r="BX661" s="17"/>
      <c r="BY661" s="17"/>
      <c r="BZ661" s="17"/>
      <c r="CA661" s="17"/>
      <c r="CB661" s="17"/>
      <c r="CC661" s="17"/>
      <c r="CD661" s="17"/>
      <c r="CE661" s="17"/>
      <c r="CF661" s="17"/>
      <c r="CG661" s="17"/>
      <c r="CH661" s="17"/>
      <c r="CI661" s="17"/>
      <c r="CJ661" s="17"/>
      <c r="CK661" s="17"/>
      <c r="CL661" s="17"/>
      <c r="CM661" s="17"/>
      <c r="CN661" s="17"/>
      <c r="CO661" s="17"/>
      <c r="CP661" s="17"/>
      <c r="CQ661" s="17"/>
      <c r="CR661" s="17"/>
      <c r="CS661" s="17"/>
      <c r="CT661" s="17"/>
      <c r="CU661" s="17"/>
      <c r="CV661" s="17"/>
      <c r="CW661" s="17"/>
      <c r="CX661" s="17"/>
      <c r="CY661" s="17"/>
      <c r="CZ661" s="17"/>
      <c r="DA661" s="17"/>
      <c r="DB661" s="17"/>
      <c r="DC661" s="17"/>
      <c r="DD661" s="17"/>
      <c r="DE661" s="17"/>
      <c r="DF661" s="17"/>
      <c r="DG661" s="17"/>
      <c r="DH661" s="17"/>
      <c r="DI661" s="17"/>
      <c r="DJ661" s="17"/>
      <c r="DK661" s="17"/>
      <c r="DL661" s="17"/>
      <c r="DM661" s="17"/>
      <c r="DN661" s="17"/>
      <c r="DO661" s="17"/>
      <c r="DP661" s="17"/>
      <c r="DQ661" s="17"/>
      <c r="DR661" s="17"/>
      <c r="DS661" s="17"/>
      <c r="DT661" s="17"/>
      <c r="DU661" s="17"/>
      <c r="DV661" s="17"/>
      <c r="DW661" s="17"/>
    </row>
    <row r="662" spans="1:127" ht="18" customHeight="1">
      <c r="A662" s="16"/>
      <c r="B662" s="16"/>
      <c r="C662" s="16"/>
      <c r="D662" s="16"/>
      <c r="E662" s="16"/>
      <c r="F662" s="16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  <c r="BK662" s="17"/>
      <c r="BL662" s="17"/>
      <c r="BM662" s="17"/>
      <c r="BN662" s="17"/>
      <c r="BO662" s="17"/>
      <c r="BP662" s="17"/>
      <c r="BQ662" s="17"/>
      <c r="BR662" s="17"/>
      <c r="BS662" s="17"/>
      <c r="BT662" s="17"/>
      <c r="BU662" s="17"/>
      <c r="BV662" s="17"/>
      <c r="BW662" s="17"/>
      <c r="BX662" s="17"/>
      <c r="BY662" s="17"/>
      <c r="BZ662" s="17"/>
      <c r="CA662" s="17"/>
      <c r="CB662" s="17"/>
      <c r="CC662" s="17"/>
      <c r="CD662" s="17"/>
      <c r="CE662" s="17"/>
      <c r="CF662" s="17"/>
      <c r="CG662" s="17"/>
      <c r="CH662" s="17"/>
      <c r="CI662" s="17"/>
      <c r="CJ662" s="17"/>
      <c r="CK662" s="17"/>
      <c r="CL662" s="17"/>
      <c r="CM662" s="17"/>
      <c r="CN662" s="17"/>
      <c r="CO662" s="17"/>
      <c r="CP662" s="17"/>
      <c r="CQ662" s="17"/>
      <c r="CR662" s="17"/>
      <c r="CS662" s="17"/>
      <c r="CT662" s="17"/>
      <c r="CU662" s="17"/>
      <c r="CV662" s="17"/>
      <c r="CW662" s="17"/>
      <c r="CX662" s="17"/>
      <c r="CY662" s="17"/>
      <c r="CZ662" s="17"/>
      <c r="DA662" s="17"/>
      <c r="DB662" s="17"/>
      <c r="DC662" s="17"/>
      <c r="DD662" s="17"/>
      <c r="DE662" s="17"/>
      <c r="DF662" s="17"/>
      <c r="DG662" s="17"/>
      <c r="DH662" s="17"/>
      <c r="DI662" s="17"/>
      <c r="DJ662" s="17"/>
      <c r="DK662" s="17"/>
      <c r="DL662" s="17"/>
      <c r="DM662" s="17"/>
      <c r="DN662" s="17"/>
      <c r="DO662" s="17"/>
      <c r="DP662" s="17"/>
      <c r="DQ662" s="17"/>
      <c r="DR662" s="17"/>
      <c r="DS662" s="17"/>
      <c r="DT662" s="17"/>
      <c r="DU662" s="17"/>
      <c r="DV662" s="17"/>
      <c r="DW662" s="17"/>
    </row>
    <row r="663" spans="1:127" ht="18" customHeight="1">
      <c r="A663" s="16"/>
      <c r="B663" s="16"/>
      <c r="C663" s="16"/>
      <c r="D663" s="16"/>
      <c r="E663" s="16"/>
      <c r="F663" s="16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  <c r="BK663" s="17"/>
      <c r="BL663" s="17"/>
      <c r="BM663" s="17"/>
      <c r="BN663" s="17"/>
      <c r="BO663" s="17"/>
      <c r="BP663" s="17"/>
      <c r="BQ663" s="17"/>
      <c r="BR663" s="17"/>
      <c r="BS663" s="17"/>
      <c r="BT663" s="17"/>
      <c r="BU663" s="17"/>
      <c r="BV663" s="17"/>
      <c r="BW663" s="17"/>
      <c r="BX663" s="17"/>
      <c r="BY663" s="17"/>
      <c r="BZ663" s="17"/>
      <c r="CA663" s="17"/>
      <c r="CB663" s="17"/>
      <c r="CC663" s="17"/>
      <c r="CD663" s="17"/>
      <c r="CE663" s="17"/>
      <c r="CF663" s="17"/>
      <c r="CG663" s="17"/>
      <c r="CH663" s="17"/>
      <c r="CI663" s="17"/>
      <c r="CJ663" s="17"/>
      <c r="CK663" s="17"/>
      <c r="CL663" s="17"/>
      <c r="CM663" s="17"/>
      <c r="CN663" s="17"/>
      <c r="CO663" s="17"/>
      <c r="CP663" s="17"/>
      <c r="CQ663" s="17"/>
      <c r="CR663" s="17"/>
      <c r="CS663" s="17"/>
      <c r="CT663" s="17"/>
      <c r="CU663" s="17"/>
      <c r="CV663" s="17"/>
      <c r="CW663" s="17"/>
      <c r="CX663" s="17"/>
      <c r="CY663" s="17"/>
      <c r="CZ663" s="17"/>
      <c r="DA663" s="17"/>
      <c r="DB663" s="17"/>
      <c r="DC663" s="17"/>
      <c r="DD663" s="17"/>
      <c r="DE663" s="17"/>
      <c r="DF663" s="17"/>
      <c r="DG663" s="17"/>
      <c r="DH663" s="17"/>
      <c r="DI663" s="17"/>
      <c r="DJ663" s="17"/>
      <c r="DK663" s="17"/>
      <c r="DL663" s="17"/>
      <c r="DM663" s="17"/>
      <c r="DN663" s="17"/>
      <c r="DO663" s="17"/>
      <c r="DP663" s="17"/>
      <c r="DQ663" s="17"/>
      <c r="DR663" s="17"/>
      <c r="DS663" s="17"/>
      <c r="DT663" s="17"/>
      <c r="DU663" s="17"/>
      <c r="DV663" s="17"/>
      <c r="DW663" s="17"/>
    </row>
    <row r="664" spans="1:127" ht="18" customHeight="1">
      <c r="A664" s="16"/>
      <c r="B664" s="16"/>
      <c r="C664" s="16"/>
      <c r="D664" s="16"/>
      <c r="E664" s="16"/>
      <c r="F664" s="16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  <c r="BK664" s="17"/>
      <c r="BL664" s="17"/>
      <c r="BM664" s="17"/>
      <c r="BN664" s="17"/>
      <c r="BO664" s="17"/>
      <c r="BP664" s="17"/>
      <c r="BQ664" s="17"/>
      <c r="BR664" s="17"/>
      <c r="BS664" s="17"/>
      <c r="BT664" s="17"/>
      <c r="BU664" s="17"/>
      <c r="BV664" s="17"/>
      <c r="BW664" s="17"/>
      <c r="BX664" s="17"/>
      <c r="BY664" s="17"/>
      <c r="BZ664" s="17"/>
      <c r="CA664" s="17"/>
      <c r="CB664" s="17"/>
      <c r="CC664" s="17"/>
      <c r="CD664" s="17"/>
      <c r="CE664" s="17"/>
      <c r="CF664" s="17"/>
      <c r="CG664" s="17"/>
      <c r="CH664" s="17"/>
      <c r="CI664" s="17"/>
      <c r="CJ664" s="17"/>
      <c r="CK664" s="17"/>
      <c r="CL664" s="17"/>
      <c r="CM664" s="17"/>
      <c r="CN664" s="17"/>
      <c r="CO664" s="17"/>
      <c r="CP664" s="17"/>
      <c r="CQ664" s="17"/>
      <c r="CR664" s="17"/>
      <c r="CS664" s="17"/>
      <c r="CT664" s="17"/>
      <c r="CU664" s="17"/>
      <c r="CV664" s="17"/>
      <c r="CW664" s="17"/>
      <c r="CX664" s="17"/>
      <c r="CY664" s="17"/>
      <c r="CZ664" s="17"/>
      <c r="DA664" s="17"/>
      <c r="DB664" s="17"/>
      <c r="DC664" s="17"/>
      <c r="DD664" s="17"/>
      <c r="DE664" s="17"/>
      <c r="DF664" s="17"/>
      <c r="DG664" s="17"/>
      <c r="DH664" s="17"/>
      <c r="DI664" s="17"/>
      <c r="DJ664" s="17"/>
      <c r="DK664" s="17"/>
      <c r="DL664" s="17"/>
      <c r="DM664" s="17"/>
      <c r="DN664" s="17"/>
      <c r="DO664" s="17"/>
      <c r="DP664" s="17"/>
      <c r="DQ664" s="17"/>
      <c r="DR664" s="17"/>
      <c r="DS664" s="17"/>
      <c r="DT664" s="17"/>
      <c r="DU664" s="17"/>
      <c r="DV664" s="17"/>
      <c r="DW664" s="17"/>
    </row>
    <row r="665" spans="1:127" ht="18" customHeight="1">
      <c r="A665" s="16"/>
      <c r="B665" s="16"/>
      <c r="C665" s="16"/>
      <c r="D665" s="16"/>
      <c r="E665" s="16"/>
      <c r="F665" s="16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  <c r="BK665" s="17"/>
      <c r="BL665" s="17"/>
      <c r="BM665" s="17"/>
      <c r="BN665" s="17"/>
      <c r="BO665" s="17"/>
      <c r="BP665" s="17"/>
      <c r="BQ665" s="17"/>
      <c r="BR665" s="17"/>
      <c r="BS665" s="17"/>
      <c r="BT665" s="17"/>
      <c r="BU665" s="17"/>
      <c r="BV665" s="17"/>
      <c r="BW665" s="17"/>
      <c r="BX665" s="17"/>
      <c r="BY665" s="17"/>
      <c r="BZ665" s="17"/>
      <c r="CA665" s="17"/>
      <c r="CB665" s="17"/>
      <c r="CC665" s="17"/>
      <c r="CD665" s="17"/>
      <c r="CE665" s="17"/>
      <c r="CF665" s="17"/>
      <c r="CG665" s="17"/>
      <c r="CH665" s="17"/>
      <c r="CI665" s="17"/>
      <c r="CJ665" s="17"/>
      <c r="CK665" s="17"/>
      <c r="CL665" s="17"/>
      <c r="CM665" s="17"/>
      <c r="CN665" s="17"/>
      <c r="CO665" s="17"/>
      <c r="CP665" s="17"/>
      <c r="CQ665" s="17"/>
      <c r="CR665" s="17"/>
      <c r="CS665" s="17"/>
      <c r="CT665" s="17"/>
      <c r="CU665" s="17"/>
      <c r="CV665" s="17"/>
      <c r="CW665" s="17"/>
      <c r="CX665" s="17"/>
      <c r="CY665" s="17"/>
      <c r="CZ665" s="17"/>
      <c r="DA665" s="17"/>
      <c r="DB665" s="17"/>
      <c r="DC665" s="17"/>
      <c r="DD665" s="17"/>
      <c r="DE665" s="17"/>
      <c r="DF665" s="17"/>
      <c r="DG665" s="17"/>
      <c r="DH665" s="17"/>
      <c r="DI665" s="17"/>
      <c r="DJ665" s="17"/>
      <c r="DK665" s="17"/>
      <c r="DL665" s="17"/>
      <c r="DM665" s="17"/>
      <c r="DN665" s="17"/>
      <c r="DO665" s="17"/>
      <c r="DP665" s="17"/>
      <c r="DQ665" s="17"/>
      <c r="DR665" s="17"/>
      <c r="DS665" s="17"/>
      <c r="DT665" s="17"/>
      <c r="DU665" s="17"/>
      <c r="DV665" s="17"/>
      <c r="DW665" s="17"/>
    </row>
    <row r="666" spans="1:127" ht="18" customHeight="1">
      <c r="A666" s="16"/>
      <c r="B666" s="16"/>
      <c r="C666" s="16"/>
      <c r="D666" s="16"/>
      <c r="E666" s="16"/>
      <c r="F666" s="16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  <c r="BK666" s="17"/>
      <c r="BL666" s="17"/>
      <c r="BM666" s="17"/>
      <c r="BN666" s="17"/>
      <c r="BO666" s="17"/>
      <c r="BP666" s="17"/>
      <c r="BQ666" s="17"/>
      <c r="BR666" s="17"/>
      <c r="BS666" s="17"/>
      <c r="BT666" s="17"/>
      <c r="BU666" s="17"/>
      <c r="BV666" s="17"/>
      <c r="BW666" s="17"/>
      <c r="BX666" s="17"/>
      <c r="BY666" s="17"/>
      <c r="BZ666" s="17"/>
      <c r="CA666" s="17"/>
      <c r="CB666" s="17"/>
      <c r="CC666" s="17"/>
      <c r="CD666" s="17"/>
      <c r="CE666" s="17"/>
      <c r="CF666" s="17"/>
      <c r="CG666" s="17"/>
      <c r="CH666" s="17"/>
      <c r="CI666" s="17"/>
      <c r="CJ666" s="17"/>
      <c r="CK666" s="17"/>
      <c r="CL666" s="17"/>
      <c r="CM666" s="17"/>
      <c r="CN666" s="17"/>
      <c r="CO666" s="17"/>
      <c r="CP666" s="17"/>
      <c r="CQ666" s="17"/>
      <c r="CR666" s="17"/>
      <c r="CS666" s="17"/>
      <c r="CT666" s="17"/>
      <c r="CU666" s="17"/>
      <c r="CV666" s="17"/>
      <c r="CW666" s="17"/>
      <c r="CX666" s="17"/>
      <c r="CY666" s="17"/>
      <c r="CZ666" s="17"/>
      <c r="DA666" s="17"/>
      <c r="DB666" s="17"/>
      <c r="DC666" s="17"/>
      <c r="DD666" s="17"/>
      <c r="DE666" s="17"/>
      <c r="DF666" s="17"/>
      <c r="DG666" s="17"/>
      <c r="DH666" s="17"/>
      <c r="DI666" s="17"/>
      <c r="DJ666" s="17"/>
      <c r="DK666" s="17"/>
      <c r="DL666" s="17"/>
      <c r="DM666" s="17"/>
      <c r="DN666" s="17"/>
      <c r="DO666" s="17"/>
      <c r="DP666" s="17"/>
      <c r="DQ666" s="17"/>
      <c r="DR666" s="17"/>
      <c r="DS666" s="17"/>
      <c r="DT666" s="17"/>
      <c r="DU666" s="17"/>
      <c r="DV666" s="17"/>
      <c r="DW666" s="17"/>
    </row>
    <row r="667" spans="1:127" ht="18" customHeight="1">
      <c r="A667" s="16"/>
      <c r="B667" s="16"/>
      <c r="C667" s="16"/>
      <c r="D667" s="16"/>
      <c r="E667" s="16"/>
      <c r="F667" s="16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  <c r="BK667" s="17"/>
      <c r="BL667" s="17"/>
      <c r="BM667" s="17"/>
      <c r="BN667" s="17"/>
      <c r="BO667" s="17"/>
      <c r="BP667" s="17"/>
      <c r="BQ667" s="17"/>
      <c r="BR667" s="17"/>
      <c r="BS667" s="17"/>
      <c r="BT667" s="17"/>
      <c r="BU667" s="17"/>
      <c r="BV667" s="17"/>
      <c r="BW667" s="17"/>
      <c r="BX667" s="17"/>
      <c r="BY667" s="17"/>
      <c r="BZ667" s="17"/>
      <c r="CA667" s="17"/>
      <c r="CB667" s="17"/>
      <c r="CC667" s="17"/>
      <c r="CD667" s="17"/>
      <c r="CE667" s="17"/>
      <c r="CF667" s="17"/>
      <c r="CG667" s="17"/>
      <c r="CH667" s="17"/>
      <c r="CI667" s="17"/>
      <c r="CJ667" s="17"/>
      <c r="CK667" s="17"/>
      <c r="CL667" s="17"/>
      <c r="CM667" s="17"/>
      <c r="CN667" s="17"/>
      <c r="CO667" s="17"/>
      <c r="CP667" s="17"/>
      <c r="CQ667" s="17"/>
      <c r="CR667" s="17"/>
      <c r="CS667" s="17"/>
      <c r="CT667" s="17"/>
      <c r="CU667" s="17"/>
      <c r="CV667" s="17"/>
      <c r="CW667" s="17"/>
      <c r="CX667" s="17"/>
      <c r="CY667" s="17"/>
      <c r="CZ667" s="17"/>
      <c r="DA667" s="17"/>
      <c r="DB667" s="17"/>
      <c r="DC667" s="17"/>
      <c r="DD667" s="17"/>
      <c r="DE667" s="17"/>
      <c r="DF667" s="17"/>
      <c r="DG667" s="17"/>
      <c r="DH667" s="17"/>
      <c r="DI667" s="17"/>
      <c r="DJ667" s="17"/>
      <c r="DK667" s="17"/>
      <c r="DL667" s="17"/>
      <c r="DM667" s="17"/>
      <c r="DN667" s="17"/>
      <c r="DO667" s="17"/>
      <c r="DP667" s="17"/>
      <c r="DQ667" s="17"/>
      <c r="DR667" s="17"/>
      <c r="DS667" s="17"/>
      <c r="DT667" s="17"/>
      <c r="DU667" s="17"/>
      <c r="DV667" s="17"/>
      <c r="DW667" s="17"/>
    </row>
    <row r="668" spans="1:127" ht="18" customHeight="1">
      <c r="A668" s="16"/>
      <c r="B668" s="16"/>
      <c r="C668" s="16"/>
      <c r="D668" s="16"/>
      <c r="E668" s="16"/>
      <c r="F668" s="16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  <c r="BK668" s="17"/>
      <c r="BL668" s="17"/>
      <c r="BM668" s="17"/>
      <c r="BN668" s="17"/>
      <c r="BO668" s="17"/>
      <c r="BP668" s="17"/>
      <c r="BQ668" s="17"/>
      <c r="BR668" s="17"/>
      <c r="BS668" s="17"/>
      <c r="BT668" s="17"/>
      <c r="BU668" s="17"/>
      <c r="BV668" s="17"/>
      <c r="BW668" s="17"/>
      <c r="BX668" s="17"/>
      <c r="BY668" s="17"/>
      <c r="BZ668" s="17"/>
      <c r="CA668" s="17"/>
      <c r="CB668" s="17"/>
      <c r="CC668" s="17"/>
      <c r="CD668" s="17"/>
      <c r="CE668" s="17"/>
      <c r="CF668" s="17"/>
      <c r="CG668" s="17"/>
      <c r="CH668" s="17"/>
      <c r="CI668" s="17"/>
      <c r="CJ668" s="17"/>
      <c r="CK668" s="17"/>
      <c r="CL668" s="17"/>
      <c r="CM668" s="17"/>
      <c r="CN668" s="17"/>
      <c r="CO668" s="17"/>
      <c r="CP668" s="17"/>
      <c r="CQ668" s="17"/>
      <c r="CR668" s="17"/>
      <c r="CS668" s="17"/>
      <c r="CT668" s="17"/>
      <c r="CU668" s="17"/>
      <c r="CV668" s="17"/>
      <c r="CW668" s="17"/>
      <c r="CX668" s="17"/>
      <c r="CY668" s="17"/>
      <c r="CZ668" s="17"/>
      <c r="DA668" s="17"/>
      <c r="DB668" s="17"/>
      <c r="DC668" s="17"/>
      <c r="DD668" s="17"/>
      <c r="DE668" s="17"/>
      <c r="DF668" s="17"/>
      <c r="DG668" s="17"/>
      <c r="DH668" s="17"/>
      <c r="DI668" s="17"/>
      <c r="DJ668" s="17"/>
      <c r="DK668" s="17"/>
      <c r="DL668" s="17"/>
      <c r="DM668" s="17"/>
      <c r="DN668" s="17"/>
      <c r="DO668" s="17"/>
      <c r="DP668" s="17"/>
      <c r="DQ668" s="17"/>
      <c r="DR668" s="17"/>
      <c r="DS668" s="17"/>
      <c r="DT668" s="17"/>
      <c r="DU668" s="17"/>
      <c r="DV668" s="17"/>
      <c r="DW668" s="17"/>
    </row>
    <row r="669" spans="1:127" ht="18" customHeight="1">
      <c r="A669" s="16"/>
      <c r="B669" s="16"/>
      <c r="C669" s="16"/>
      <c r="D669" s="16"/>
      <c r="E669" s="16"/>
      <c r="F669" s="16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  <c r="BK669" s="17"/>
      <c r="BL669" s="17"/>
      <c r="BM669" s="17"/>
      <c r="BN669" s="17"/>
      <c r="BO669" s="17"/>
      <c r="BP669" s="17"/>
      <c r="BQ669" s="17"/>
      <c r="BR669" s="17"/>
      <c r="BS669" s="17"/>
      <c r="BT669" s="17"/>
      <c r="BU669" s="17"/>
      <c r="BV669" s="17"/>
      <c r="BW669" s="17"/>
      <c r="BX669" s="17"/>
      <c r="BY669" s="17"/>
      <c r="BZ669" s="17"/>
      <c r="CA669" s="17"/>
      <c r="CB669" s="17"/>
      <c r="CC669" s="17"/>
      <c r="CD669" s="17"/>
      <c r="CE669" s="17"/>
      <c r="CF669" s="17"/>
      <c r="CG669" s="17"/>
      <c r="CH669" s="17"/>
      <c r="CI669" s="17"/>
      <c r="CJ669" s="17"/>
      <c r="CK669" s="17"/>
      <c r="CL669" s="17"/>
      <c r="CM669" s="17"/>
      <c r="CN669" s="17"/>
      <c r="CO669" s="17"/>
      <c r="CP669" s="17"/>
      <c r="CQ669" s="17"/>
      <c r="CR669" s="17"/>
      <c r="CS669" s="17"/>
      <c r="CT669" s="17"/>
      <c r="CU669" s="17"/>
      <c r="CV669" s="17"/>
      <c r="CW669" s="17"/>
      <c r="CX669" s="17"/>
      <c r="CY669" s="17"/>
      <c r="CZ669" s="17"/>
      <c r="DA669" s="17"/>
      <c r="DB669" s="17"/>
      <c r="DC669" s="17"/>
      <c r="DD669" s="17"/>
      <c r="DE669" s="17"/>
      <c r="DF669" s="17"/>
      <c r="DG669" s="17"/>
      <c r="DH669" s="17"/>
      <c r="DI669" s="17"/>
      <c r="DJ669" s="17"/>
      <c r="DK669" s="17"/>
      <c r="DL669" s="17"/>
      <c r="DM669" s="17"/>
      <c r="DN669" s="17"/>
      <c r="DO669" s="17"/>
      <c r="DP669" s="17"/>
      <c r="DQ669" s="17"/>
      <c r="DR669" s="17"/>
      <c r="DS669" s="17"/>
      <c r="DT669" s="17"/>
      <c r="DU669" s="17"/>
      <c r="DV669" s="17"/>
      <c r="DW669" s="17"/>
    </row>
    <row r="670" spans="1:127" ht="18" customHeight="1">
      <c r="A670" s="16"/>
      <c r="B670" s="16"/>
      <c r="C670" s="16"/>
      <c r="D670" s="16"/>
      <c r="E670" s="16"/>
      <c r="F670" s="16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  <c r="BK670" s="17"/>
      <c r="BL670" s="17"/>
      <c r="BM670" s="17"/>
      <c r="BN670" s="17"/>
      <c r="BO670" s="17"/>
      <c r="BP670" s="17"/>
      <c r="BQ670" s="17"/>
      <c r="BR670" s="17"/>
      <c r="BS670" s="17"/>
      <c r="BT670" s="17"/>
      <c r="BU670" s="17"/>
      <c r="BV670" s="17"/>
      <c r="BW670" s="17"/>
      <c r="BX670" s="17"/>
      <c r="BY670" s="17"/>
      <c r="BZ670" s="17"/>
      <c r="CA670" s="17"/>
      <c r="CB670" s="17"/>
      <c r="CC670" s="17"/>
      <c r="CD670" s="17"/>
      <c r="CE670" s="17"/>
      <c r="CF670" s="17"/>
      <c r="CG670" s="17"/>
      <c r="CH670" s="17"/>
      <c r="CI670" s="17"/>
      <c r="CJ670" s="17"/>
      <c r="CK670" s="17"/>
      <c r="CL670" s="17"/>
      <c r="CM670" s="17"/>
      <c r="CN670" s="17"/>
      <c r="CO670" s="17"/>
      <c r="CP670" s="17"/>
      <c r="CQ670" s="17"/>
      <c r="CR670" s="17"/>
      <c r="CS670" s="17"/>
      <c r="CT670" s="17"/>
      <c r="CU670" s="17"/>
      <c r="CV670" s="17"/>
      <c r="CW670" s="17"/>
      <c r="CX670" s="17"/>
      <c r="CY670" s="17"/>
      <c r="CZ670" s="17"/>
      <c r="DA670" s="17"/>
      <c r="DB670" s="17"/>
      <c r="DC670" s="17"/>
      <c r="DD670" s="17"/>
      <c r="DE670" s="17"/>
      <c r="DF670" s="17"/>
      <c r="DG670" s="17"/>
      <c r="DH670" s="17"/>
      <c r="DI670" s="17"/>
      <c r="DJ670" s="17"/>
      <c r="DK670" s="17"/>
      <c r="DL670" s="17"/>
      <c r="DM670" s="17"/>
      <c r="DN670" s="17"/>
      <c r="DO670" s="17"/>
      <c r="DP670" s="17"/>
      <c r="DQ670" s="17"/>
      <c r="DR670" s="17"/>
      <c r="DS670" s="17"/>
      <c r="DT670" s="17"/>
      <c r="DU670" s="17"/>
      <c r="DV670" s="17"/>
      <c r="DW670" s="17"/>
    </row>
    <row r="671" spans="1:127" ht="18" customHeight="1">
      <c r="A671" s="16"/>
      <c r="B671" s="16"/>
      <c r="C671" s="16"/>
      <c r="D671" s="16"/>
      <c r="E671" s="16"/>
      <c r="F671" s="16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  <c r="BK671" s="17"/>
      <c r="BL671" s="17"/>
      <c r="BM671" s="17"/>
      <c r="BN671" s="17"/>
      <c r="BO671" s="17"/>
      <c r="BP671" s="17"/>
      <c r="BQ671" s="17"/>
      <c r="BR671" s="17"/>
      <c r="BS671" s="17"/>
      <c r="BT671" s="17"/>
      <c r="BU671" s="17"/>
      <c r="BV671" s="17"/>
      <c r="BW671" s="17"/>
      <c r="BX671" s="17"/>
      <c r="BY671" s="17"/>
      <c r="BZ671" s="17"/>
      <c r="CA671" s="17"/>
      <c r="CB671" s="17"/>
      <c r="CC671" s="17"/>
      <c r="CD671" s="17"/>
      <c r="CE671" s="17"/>
      <c r="CF671" s="17"/>
      <c r="CG671" s="17"/>
      <c r="CH671" s="17"/>
      <c r="CI671" s="17"/>
      <c r="CJ671" s="17"/>
      <c r="CK671" s="17"/>
      <c r="CL671" s="17"/>
      <c r="CM671" s="17"/>
      <c r="CN671" s="17"/>
      <c r="CO671" s="17"/>
      <c r="CP671" s="17"/>
      <c r="CQ671" s="17"/>
      <c r="CR671" s="17"/>
      <c r="CS671" s="17"/>
      <c r="CT671" s="17"/>
      <c r="CU671" s="17"/>
      <c r="CV671" s="17"/>
      <c r="CW671" s="17"/>
      <c r="CX671" s="17"/>
      <c r="CY671" s="17"/>
      <c r="CZ671" s="17"/>
      <c r="DA671" s="17"/>
      <c r="DB671" s="17"/>
      <c r="DC671" s="17"/>
      <c r="DD671" s="17"/>
      <c r="DE671" s="17"/>
      <c r="DF671" s="17"/>
      <c r="DG671" s="17"/>
      <c r="DH671" s="17"/>
      <c r="DI671" s="17"/>
      <c r="DJ671" s="17"/>
      <c r="DK671" s="17"/>
      <c r="DL671" s="17"/>
      <c r="DM671" s="17"/>
      <c r="DN671" s="17"/>
      <c r="DO671" s="17"/>
      <c r="DP671" s="17"/>
      <c r="DQ671" s="17"/>
      <c r="DR671" s="17"/>
      <c r="DS671" s="17"/>
      <c r="DT671" s="17"/>
      <c r="DU671" s="17"/>
      <c r="DV671" s="17"/>
      <c r="DW671" s="17"/>
    </row>
    <row r="672" spans="1:127" ht="18" customHeight="1">
      <c r="A672" s="16"/>
      <c r="B672" s="16"/>
      <c r="C672" s="16"/>
      <c r="D672" s="16"/>
      <c r="E672" s="16"/>
      <c r="F672" s="16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  <c r="BK672" s="17"/>
      <c r="BL672" s="17"/>
      <c r="BM672" s="17"/>
      <c r="BN672" s="17"/>
      <c r="BO672" s="17"/>
      <c r="BP672" s="17"/>
      <c r="BQ672" s="17"/>
      <c r="BR672" s="17"/>
      <c r="BS672" s="17"/>
      <c r="BT672" s="17"/>
      <c r="BU672" s="17"/>
      <c r="BV672" s="17"/>
      <c r="BW672" s="17"/>
      <c r="BX672" s="17"/>
      <c r="BY672" s="17"/>
      <c r="BZ672" s="17"/>
      <c r="CA672" s="17"/>
      <c r="CB672" s="17"/>
      <c r="CC672" s="17"/>
      <c r="CD672" s="17"/>
      <c r="CE672" s="17"/>
      <c r="CF672" s="17"/>
      <c r="CG672" s="17"/>
      <c r="CH672" s="17"/>
      <c r="CI672" s="17"/>
      <c r="CJ672" s="17"/>
      <c r="CK672" s="17"/>
      <c r="CL672" s="17"/>
      <c r="CM672" s="17"/>
      <c r="CN672" s="17"/>
      <c r="CO672" s="17"/>
      <c r="CP672" s="17"/>
      <c r="CQ672" s="17"/>
      <c r="CR672" s="17"/>
      <c r="CS672" s="17"/>
      <c r="CT672" s="17"/>
      <c r="CU672" s="17"/>
      <c r="CV672" s="17"/>
      <c r="CW672" s="17"/>
      <c r="CX672" s="17"/>
      <c r="CY672" s="17"/>
      <c r="CZ672" s="17"/>
      <c r="DA672" s="17"/>
      <c r="DB672" s="17"/>
      <c r="DC672" s="17"/>
      <c r="DD672" s="17"/>
      <c r="DE672" s="17"/>
      <c r="DF672" s="17"/>
      <c r="DG672" s="17"/>
      <c r="DH672" s="17"/>
      <c r="DI672" s="17"/>
      <c r="DJ672" s="17"/>
      <c r="DK672" s="17"/>
      <c r="DL672" s="17"/>
      <c r="DM672" s="17"/>
      <c r="DN672" s="17"/>
      <c r="DO672" s="17"/>
      <c r="DP672" s="17"/>
      <c r="DQ672" s="17"/>
      <c r="DR672" s="17"/>
      <c r="DS672" s="17"/>
      <c r="DT672" s="17"/>
      <c r="DU672" s="17"/>
      <c r="DV672" s="17"/>
      <c r="DW672" s="17"/>
    </row>
    <row r="673" spans="1:127" ht="18" customHeight="1">
      <c r="A673" s="16"/>
      <c r="B673" s="16"/>
      <c r="C673" s="16"/>
      <c r="D673" s="16"/>
      <c r="E673" s="16"/>
      <c r="F673" s="16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  <c r="BK673" s="17"/>
      <c r="BL673" s="17"/>
      <c r="BM673" s="17"/>
      <c r="BN673" s="17"/>
      <c r="BO673" s="17"/>
      <c r="BP673" s="17"/>
      <c r="BQ673" s="17"/>
      <c r="BR673" s="17"/>
      <c r="BS673" s="17"/>
      <c r="BT673" s="17"/>
      <c r="BU673" s="17"/>
      <c r="BV673" s="17"/>
      <c r="BW673" s="17"/>
      <c r="BX673" s="17"/>
      <c r="BY673" s="17"/>
      <c r="BZ673" s="17"/>
      <c r="CA673" s="17"/>
      <c r="CB673" s="17"/>
      <c r="CC673" s="17"/>
      <c r="CD673" s="17"/>
      <c r="CE673" s="17"/>
      <c r="CF673" s="17"/>
      <c r="CG673" s="17"/>
      <c r="CH673" s="17"/>
      <c r="CI673" s="17"/>
      <c r="CJ673" s="17"/>
      <c r="CK673" s="17"/>
      <c r="CL673" s="17"/>
      <c r="CM673" s="17"/>
      <c r="CN673" s="17"/>
      <c r="CO673" s="17"/>
      <c r="CP673" s="17"/>
      <c r="CQ673" s="17"/>
      <c r="CR673" s="17"/>
      <c r="CS673" s="17"/>
      <c r="CT673" s="17"/>
      <c r="CU673" s="17"/>
      <c r="CV673" s="17"/>
      <c r="CW673" s="17"/>
      <c r="CX673" s="17"/>
      <c r="CY673" s="17"/>
      <c r="CZ673" s="17"/>
      <c r="DA673" s="17"/>
      <c r="DB673" s="17"/>
      <c r="DC673" s="17"/>
      <c r="DD673" s="17"/>
      <c r="DE673" s="17"/>
      <c r="DF673" s="17"/>
      <c r="DG673" s="17"/>
      <c r="DH673" s="17"/>
      <c r="DI673" s="17"/>
      <c r="DJ673" s="17"/>
      <c r="DK673" s="17"/>
      <c r="DL673" s="17"/>
      <c r="DM673" s="17"/>
      <c r="DN673" s="17"/>
      <c r="DO673" s="17"/>
      <c r="DP673" s="17"/>
      <c r="DQ673" s="17"/>
      <c r="DR673" s="17"/>
      <c r="DS673" s="17"/>
      <c r="DT673" s="17"/>
      <c r="DU673" s="17"/>
      <c r="DV673" s="17"/>
      <c r="DW673" s="17"/>
    </row>
    <row r="674" spans="1:127" ht="18" customHeight="1">
      <c r="A674" s="16"/>
      <c r="B674" s="16"/>
      <c r="C674" s="16"/>
      <c r="D674" s="16"/>
      <c r="E674" s="16"/>
      <c r="F674" s="16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  <c r="BK674" s="17"/>
      <c r="BL674" s="17"/>
      <c r="BM674" s="17"/>
      <c r="BN674" s="17"/>
      <c r="BO674" s="17"/>
      <c r="BP674" s="17"/>
      <c r="BQ674" s="17"/>
      <c r="BR674" s="17"/>
      <c r="BS674" s="17"/>
      <c r="BT674" s="17"/>
      <c r="BU674" s="17"/>
      <c r="BV674" s="17"/>
      <c r="BW674" s="17"/>
      <c r="BX674" s="17"/>
      <c r="BY674" s="17"/>
      <c r="BZ674" s="17"/>
      <c r="CA674" s="17"/>
      <c r="CB674" s="17"/>
      <c r="CC674" s="17"/>
      <c r="CD674" s="17"/>
      <c r="CE674" s="17"/>
      <c r="CF674" s="17"/>
      <c r="CG674" s="17"/>
      <c r="CH674" s="17"/>
      <c r="CI674" s="17"/>
      <c r="CJ674" s="17"/>
      <c r="CK674" s="17"/>
      <c r="CL674" s="17"/>
      <c r="CM674" s="17"/>
      <c r="CN674" s="17"/>
      <c r="CO674" s="17"/>
      <c r="CP674" s="17"/>
      <c r="CQ674" s="17"/>
      <c r="CR674" s="17"/>
      <c r="CS674" s="17"/>
      <c r="CT674" s="17"/>
      <c r="CU674" s="17"/>
      <c r="CV674" s="17"/>
      <c r="CW674" s="17"/>
      <c r="CX674" s="17"/>
      <c r="CY674" s="17"/>
      <c r="CZ674" s="17"/>
      <c r="DA674" s="17"/>
      <c r="DB674" s="17"/>
      <c r="DC674" s="17"/>
      <c r="DD674" s="17"/>
      <c r="DE674" s="17"/>
      <c r="DF674" s="17"/>
      <c r="DG674" s="17"/>
      <c r="DH674" s="17"/>
      <c r="DI674" s="17"/>
      <c r="DJ674" s="17"/>
      <c r="DK674" s="17"/>
      <c r="DL674" s="17"/>
      <c r="DM674" s="17"/>
      <c r="DN674" s="17"/>
      <c r="DO674" s="17"/>
      <c r="DP674" s="17"/>
      <c r="DQ674" s="17"/>
      <c r="DR674" s="17"/>
      <c r="DS674" s="17"/>
      <c r="DT674" s="17"/>
      <c r="DU674" s="17"/>
      <c r="DV674" s="17"/>
      <c r="DW674" s="17"/>
    </row>
    <row r="675" spans="1:127" ht="18" customHeight="1">
      <c r="A675" s="16"/>
      <c r="B675" s="16"/>
      <c r="C675" s="16"/>
      <c r="D675" s="16"/>
      <c r="E675" s="16"/>
      <c r="F675" s="16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  <c r="BK675" s="17"/>
      <c r="BL675" s="17"/>
      <c r="BM675" s="17"/>
      <c r="BN675" s="17"/>
      <c r="BO675" s="17"/>
      <c r="BP675" s="17"/>
      <c r="BQ675" s="17"/>
      <c r="BR675" s="17"/>
      <c r="BS675" s="17"/>
      <c r="BT675" s="17"/>
      <c r="BU675" s="17"/>
      <c r="BV675" s="17"/>
      <c r="BW675" s="17"/>
      <c r="BX675" s="17"/>
      <c r="BY675" s="17"/>
      <c r="BZ675" s="17"/>
      <c r="CA675" s="17"/>
      <c r="CB675" s="17"/>
      <c r="CC675" s="17"/>
      <c r="CD675" s="17"/>
      <c r="CE675" s="17"/>
      <c r="CF675" s="17"/>
      <c r="CG675" s="17"/>
      <c r="CH675" s="17"/>
      <c r="CI675" s="17"/>
      <c r="CJ675" s="17"/>
      <c r="CK675" s="17"/>
      <c r="CL675" s="17"/>
      <c r="CM675" s="17"/>
      <c r="CN675" s="17"/>
      <c r="CO675" s="17"/>
      <c r="CP675" s="17"/>
      <c r="CQ675" s="17"/>
      <c r="CR675" s="17"/>
      <c r="CS675" s="17"/>
      <c r="CT675" s="17"/>
      <c r="CU675" s="17"/>
      <c r="CV675" s="17"/>
      <c r="CW675" s="17"/>
      <c r="CX675" s="17"/>
      <c r="CY675" s="17"/>
      <c r="CZ675" s="17"/>
      <c r="DA675" s="17"/>
      <c r="DB675" s="17"/>
      <c r="DC675" s="17"/>
      <c r="DD675" s="17"/>
      <c r="DE675" s="17"/>
      <c r="DF675" s="17"/>
      <c r="DG675" s="17"/>
      <c r="DH675" s="17"/>
      <c r="DI675" s="17"/>
      <c r="DJ675" s="17"/>
      <c r="DK675" s="17"/>
      <c r="DL675" s="17"/>
      <c r="DM675" s="17"/>
      <c r="DN675" s="17"/>
      <c r="DO675" s="17"/>
      <c r="DP675" s="17"/>
      <c r="DQ675" s="17"/>
      <c r="DR675" s="17"/>
      <c r="DS675" s="17"/>
      <c r="DT675" s="17"/>
      <c r="DU675" s="17"/>
      <c r="DV675" s="17"/>
      <c r="DW675" s="17"/>
    </row>
    <row r="676" spans="1:127" ht="18" customHeight="1">
      <c r="A676" s="16"/>
      <c r="B676" s="16"/>
      <c r="C676" s="16"/>
      <c r="D676" s="16"/>
      <c r="E676" s="16"/>
      <c r="F676" s="16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  <c r="BK676" s="17"/>
      <c r="BL676" s="17"/>
      <c r="BM676" s="17"/>
      <c r="BN676" s="17"/>
      <c r="BO676" s="17"/>
      <c r="BP676" s="17"/>
      <c r="BQ676" s="17"/>
      <c r="BR676" s="17"/>
      <c r="BS676" s="17"/>
      <c r="BT676" s="17"/>
      <c r="BU676" s="17"/>
      <c r="BV676" s="17"/>
      <c r="BW676" s="17"/>
      <c r="BX676" s="17"/>
      <c r="BY676" s="17"/>
      <c r="BZ676" s="17"/>
      <c r="CA676" s="17"/>
      <c r="CB676" s="17"/>
      <c r="CC676" s="17"/>
      <c r="CD676" s="17"/>
      <c r="CE676" s="17"/>
      <c r="CF676" s="17"/>
      <c r="CG676" s="17"/>
      <c r="CH676" s="17"/>
      <c r="CI676" s="17"/>
      <c r="CJ676" s="17"/>
      <c r="CK676" s="17"/>
      <c r="CL676" s="17"/>
      <c r="CM676" s="17"/>
      <c r="CN676" s="17"/>
      <c r="CO676" s="17"/>
      <c r="CP676" s="17"/>
      <c r="CQ676" s="17"/>
      <c r="CR676" s="17"/>
      <c r="CS676" s="17"/>
      <c r="CT676" s="17"/>
      <c r="CU676" s="17"/>
      <c r="CV676" s="17"/>
      <c r="CW676" s="17"/>
      <c r="CX676" s="17"/>
      <c r="CY676" s="17"/>
      <c r="CZ676" s="17"/>
      <c r="DA676" s="17"/>
      <c r="DB676" s="17"/>
      <c r="DC676" s="17"/>
      <c r="DD676" s="17"/>
      <c r="DE676" s="17"/>
      <c r="DF676" s="17"/>
      <c r="DG676" s="17"/>
      <c r="DH676" s="17"/>
      <c r="DI676" s="17"/>
      <c r="DJ676" s="17"/>
      <c r="DK676" s="17"/>
      <c r="DL676" s="17"/>
      <c r="DM676" s="17"/>
      <c r="DN676" s="17"/>
      <c r="DO676" s="17"/>
      <c r="DP676" s="17"/>
      <c r="DQ676" s="17"/>
      <c r="DR676" s="17"/>
      <c r="DS676" s="17"/>
      <c r="DT676" s="17"/>
      <c r="DU676" s="17"/>
      <c r="DV676" s="17"/>
      <c r="DW676" s="17"/>
    </row>
    <row r="677" spans="1:127" ht="18" customHeight="1">
      <c r="A677" s="16"/>
      <c r="B677" s="16"/>
      <c r="C677" s="16"/>
      <c r="D677" s="16"/>
      <c r="E677" s="16"/>
      <c r="F677" s="16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  <c r="BK677" s="17"/>
      <c r="BL677" s="17"/>
      <c r="BM677" s="17"/>
      <c r="BN677" s="17"/>
      <c r="BO677" s="17"/>
      <c r="BP677" s="17"/>
      <c r="BQ677" s="17"/>
      <c r="BR677" s="17"/>
      <c r="BS677" s="17"/>
      <c r="BT677" s="17"/>
      <c r="BU677" s="17"/>
      <c r="BV677" s="17"/>
      <c r="BW677" s="17"/>
      <c r="BX677" s="17"/>
      <c r="BY677" s="17"/>
      <c r="BZ677" s="17"/>
      <c r="CA677" s="17"/>
      <c r="CB677" s="17"/>
      <c r="CC677" s="17"/>
      <c r="CD677" s="17"/>
      <c r="CE677" s="17"/>
      <c r="CF677" s="17"/>
      <c r="CG677" s="17"/>
      <c r="CH677" s="17"/>
      <c r="CI677" s="17"/>
      <c r="CJ677" s="17"/>
      <c r="CK677" s="17"/>
      <c r="CL677" s="17"/>
      <c r="CM677" s="17"/>
      <c r="CN677" s="17"/>
      <c r="CO677" s="17"/>
      <c r="CP677" s="17"/>
      <c r="CQ677" s="17"/>
      <c r="CR677" s="17"/>
      <c r="CS677" s="17"/>
      <c r="CT677" s="17"/>
      <c r="CU677" s="17"/>
      <c r="CV677" s="17"/>
      <c r="CW677" s="17"/>
      <c r="CX677" s="17"/>
      <c r="CY677" s="17"/>
      <c r="CZ677" s="17"/>
      <c r="DA677" s="17"/>
      <c r="DB677" s="17"/>
      <c r="DC677" s="17"/>
      <c r="DD677" s="17"/>
      <c r="DE677" s="17"/>
      <c r="DF677" s="17"/>
      <c r="DG677" s="17"/>
      <c r="DH677" s="17"/>
      <c r="DI677" s="17"/>
      <c r="DJ677" s="17"/>
      <c r="DK677" s="17"/>
      <c r="DL677" s="17"/>
      <c r="DM677" s="17"/>
      <c r="DN677" s="17"/>
      <c r="DO677" s="17"/>
      <c r="DP677" s="17"/>
      <c r="DQ677" s="17"/>
      <c r="DR677" s="17"/>
      <c r="DS677" s="17"/>
      <c r="DT677" s="17"/>
      <c r="DU677" s="17"/>
      <c r="DV677" s="17"/>
      <c r="DW677" s="17"/>
    </row>
    <row r="678" spans="1:127" ht="18" customHeight="1">
      <c r="A678" s="16"/>
      <c r="B678" s="16"/>
      <c r="C678" s="16"/>
      <c r="D678" s="16"/>
      <c r="E678" s="16"/>
      <c r="F678" s="16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  <c r="BK678" s="17"/>
      <c r="BL678" s="17"/>
      <c r="BM678" s="17"/>
      <c r="BN678" s="17"/>
      <c r="BO678" s="17"/>
      <c r="BP678" s="17"/>
      <c r="BQ678" s="17"/>
      <c r="BR678" s="17"/>
      <c r="BS678" s="17"/>
      <c r="BT678" s="17"/>
      <c r="BU678" s="17"/>
      <c r="BV678" s="17"/>
      <c r="BW678" s="17"/>
      <c r="BX678" s="17"/>
      <c r="BY678" s="17"/>
      <c r="BZ678" s="17"/>
      <c r="CA678" s="17"/>
      <c r="CB678" s="17"/>
      <c r="CC678" s="17"/>
      <c r="CD678" s="17"/>
      <c r="CE678" s="17"/>
      <c r="CF678" s="17"/>
      <c r="CG678" s="17"/>
      <c r="CH678" s="17"/>
      <c r="CI678" s="17"/>
      <c r="CJ678" s="17"/>
      <c r="CK678" s="17"/>
      <c r="CL678" s="17"/>
      <c r="CM678" s="17"/>
      <c r="CN678" s="17"/>
      <c r="CO678" s="17"/>
      <c r="CP678" s="17"/>
      <c r="CQ678" s="17"/>
      <c r="CR678" s="17"/>
      <c r="CS678" s="17"/>
      <c r="CT678" s="17"/>
      <c r="CU678" s="17"/>
      <c r="CV678" s="17"/>
      <c r="CW678" s="17"/>
      <c r="CX678" s="17"/>
      <c r="CY678" s="17"/>
      <c r="CZ678" s="17"/>
      <c r="DA678" s="17"/>
      <c r="DB678" s="17"/>
      <c r="DC678" s="17"/>
      <c r="DD678" s="17"/>
      <c r="DE678" s="17"/>
      <c r="DF678" s="17"/>
      <c r="DG678" s="17"/>
      <c r="DH678" s="17"/>
      <c r="DI678" s="17"/>
      <c r="DJ678" s="17"/>
      <c r="DK678" s="17"/>
      <c r="DL678" s="17"/>
      <c r="DM678" s="17"/>
      <c r="DN678" s="17"/>
      <c r="DO678" s="17"/>
      <c r="DP678" s="17"/>
      <c r="DQ678" s="17"/>
      <c r="DR678" s="17"/>
      <c r="DS678" s="17"/>
      <c r="DT678" s="17"/>
      <c r="DU678" s="17"/>
      <c r="DV678" s="17"/>
      <c r="DW678" s="17"/>
    </row>
    <row r="679" spans="1:127" ht="18" customHeight="1">
      <c r="A679" s="16"/>
      <c r="B679" s="16"/>
      <c r="C679" s="16"/>
      <c r="D679" s="16"/>
      <c r="E679" s="16"/>
      <c r="F679" s="16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  <c r="BK679" s="17"/>
      <c r="BL679" s="17"/>
      <c r="BM679" s="17"/>
      <c r="BN679" s="17"/>
      <c r="BO679" s="17"/>
      <c r="BP679" s="17"/>
      <c r="BQ679" s="17"/>
      <c r="BR679" s="17"/>
      <c r="BS679" s="17"/>
      <c r="BT679" s="17"/>
      <c r="BU679" s="17"/>
      <c r="BV679" s="17"/>
      <c r="BW679" s="17"/>
      <c r="BX679" s="17"/>
      <c r="BY679" s="17"/>
      <c r="BZ679" s="17"/>
      <c r="CA679" s="17"/>
      <c r="CB679" s="17"/>
      <c r="CC679" s="17"/>
      <c r="CD679" s="17"/>
      <c r="CE679" s="17"/>
      <c r="CF679" s="17"/>
      <c r="CG679" s="17"/>
      <c r="CH679" s="17"/>
      <c r="CI679" s="17"/>
      <c r="CJ679" s="17"/>
      <c r="CK679" s="17"/>
      <c r="CL679" s="17"/>
      <c r="CM679" s="17"/>
      <c r="CN679" s="17"/>
      <c r="CO679" s="17"/>
      <c r="CP679" s="17"/>
      <c r="CQ679" s="17"/>
      <c r="CR679" s="17"/>
      <c r="CS679" s="17"/>
      <c r="CT679" s="17"/>
      <c r="CU679" s="17"/>
      <c r="CV679" s="17"/>
      <c r="CW679" s="17"/>
      <c r="CX679" s="17"/>
      <c r="CY679" s="17"/>
      <c r="CZ679" s="17"/>
      <c r="DA679" s="17"/>
      <c r="DB679" s="17"/>
      <c r="DC679" s="17"/>
      <c r="DD679" s="17"/>
      <c r="DE679" s="17"/>
      <c r="DF679" s="17"/>
      <c r="DG679" s="17"/>
      <c r="DH679" s="17"/>
      <c r="DI679" s="17"/>
      <c r="DJ679" s="17"/>
      <c r="DK679" s="17"/>
      <c r="DL679" s="17"/>
      <c r="DM679" s="17"/>
      <c r="DN679" s="17"/>
      <c r="DO679" s="17"/>
      <c r="DP679" s="17"/>
      <c r="DQ679" s="17"/>
      <c r="DR679" s="17"/>
      <c r="DS679" s="17"/>
      <c r="DT679" s="17"/>
      <c r="DU679" s="17"/>
      <c r="DV679" s="17"/>
      <c r="DW679" s="17"/>
    </row>
    <row r="680" spans="1:127" ht="18" customHeight="1">
      <c r="A680" s="16"/>
      <c r="B680" s="16"/>
      <c r="C680" s="16"/>
      <c r="D680" s="16"/>
      <c r="E680" s="16"/>
      <c r="F680" s="16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  <c r="BK680" s="17"/>
      <c r="BL680" s="17"/>
      <c r="BM680" s="17"/>
      <c r="BN680" s="17"/>
      <c r="BO680" s="17"/>
      <c r="BP680" s="17"/>
      <c r="BQ680" s="17"/>
      <c r="BR680" s="17"/>
      <c r="BS680" s="17"/>
      <c r="BT680" s="17"/>
      <c r="BU680" s="17"/>
      <c r="BV680" s="17"/>
      <c r="BW680" s="17"/>
      <c r="BX680" s="17"/>
      <c r="BY680" s="17"/>
      <c r="BZ680" s="17"/>
      <c r="CA680" s="17"/>
      <c r="CB680" s="17"/>
      <c r="CC680" s="17"/>
      <c r="CD680" s="17"/>
      <c r="CE680" s="17"/>
      <c r="CF680" s="17"/>
      <c r="CG680" s="17"/>
      <c r="CH680" s="17"/>
      <c r="CI680" s="17"/>
      <c r="CJ680" s="17"/>
      <c r="CK680" s="17"/>
      <c r="CL680" s="17"/>
      <c r="CM680" s="17"/>
      <c r="CN680" s="17"/>
      <c r="CO680" s="17"/>
      <c r="CP680" s="17"/>
      <c r="CQ680" s="17"/>
      <c r="CR680" s="17"/>
      <c r="CS680" s="17"/>
      <c r="CT680" s="17"/>
      <c r="CU680" s="17"/>
      <c r="CV680" s="17"/>
      <c r="CW680" s="17"/>
      <c r="CX680" s="17"/>
      <c r="CY680" s="17"/>
      <c r="CZ680" s="17"/>
      <c r="DA680" s="17"/>
      <c r="DB680" s="17"/>
      <c r="DC680" s="17"/>
      <c r="DD680" s="17"/>
      <c r="DE680" s="17"/>
      <c r="DF680" s="17"/>
      <c r="DG680" s="17"/>
      <c r="DH680" s="17"/>
      <c r="DI680" s="17"/>
      <c r="DJ680" s="17"/>
      <c r="DK680" s="17"/>
      <c r="DL680" s="17"/>
      <c r="DM680" s="17"/>
      <c r="DN680" s="17"/>
      <c r="DO680" s="17"/>
      <c r="DP680" s="17"/>
      <c r="DQ680" s="17"/>
      <c r="DR680" s="17"/>
      <c r="DS680" s="17"/>
      <c r="DT680" s="17"/>
      <c r="DU680" s="17"/>
      <c r="DV680" s="17"/>
      <c r="DW680" s="17"/>
    </row>
    <row r="681" spans="1:127" ht="18" customHeight="1">
      <c r="A681" s="16"/>
      <c r="B681" s="16"/>
      <c r="C681" s="16"/>
      <c r="D681" s="16"/>
      <c r="E681" s="16"/>
      <c r="F681" s="16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  <c r="BK681" s="17"/>
      <c r="BL681" s="17"/>
      <c r="BM681" s="17"/>
      <c r="BN681" s="17"/>
      <c r="BO681" s="17"/>
      <c r="BP681" s="17"/>
      <c r="BQ681" s="17"/>
      <c r="BR681" s="17"/>
      <c r="BS681" s="17"/>
      <c r="BT681" s="17"/>
      <c r="BU681" s="17"/>
      <c r="BV681" s="17"/>
      <c r="BW681" s="17"/>
      <c r="BX681" s="17"/>
      <c r="BY681" s="17"/>
      <c r="BZ681" s="17"/>
      <c r="CA681" s="17"/>
      <c r="CB681" s="17"/>
      <c r="CC681" s="17"/>
      <c r="CD681" s="17"/>
      <c r="CE681" s="17"/>
      <c r="CF681" s="17"/>
      <c r="CG681" s="17"/>
      <c r="CH681" s="17"/>
      <c r="CI681" s="17"/>
      <c r="CJ681" s="17"/>
      <c r="CK681" s="17"/>
      <c r="CL681" s="17"/>
      <c r="CM681" s="17"/>
      <c r="CN681" s="17"/>
      <c r="CO681" s="17"/>
      <c r="CP681" s="17"/>
      <c r="CQ681" s="17"/>
      <c r="CR681" s="17"/>
      <c r="CS681" s="17"/>
      <c r="CT681" s="17"/>
      <c r="CU681" s="17"/>
      <c r="CV681" s="17"/>
      <c r="CW681" s="17"/>
      <c r="CX681" s="17"/>
      <c r="CY681" s="17"/>
      <c r="CZ681" s="17"/>
      <c r="DA681" s="17"/>
      <c r="DB681" s="17"/>
      <c r="DC681" s="17"/>
      <c r="DD681" s="17"/>
      <c r="DE681" s="17"/>
      <c r="DF681" s="17"/>
      <c r="DG681" s="17"/>
      <c r="DH681" s="17"/>
      <c r="DI681" s="17"/>
      <c r="DJ681" s="17"/>
      <c r="DK681" s="17"/>
      <c r="DL681" s="17"/>
      <c r="DM681" s="17"/>
      <c r="DN681" s="17"/>
      <c r="DO681" s="17"/>
      <c r="DP681" s="17"/>
      <c r="DQ681" s="17"/>
      <c r="DR681" s="17"/>
      <c r="DS681" s="17"/>
      <c r="DT681" s="17"/>
      <c r="DU681" s="17"/>
      <c r="DV681" s="17"/>
      <c r="DW681" s="17"/>
    </row>
    <row r="682" spans="1:127" ht="18" customHeight="1">
      <c r="A682" s="16"/>
      <c r="B682" s="16"/>
      <c r="C682" s="16"/>
      <c r="D682" s="16"/>
      <c r="E682" s="16"/>
      <c r="F682" s="16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  <c r="BK682" s="17"/>
      <c r="BL682" s="17"/>
      <c r="BM682" s="17"/>
      <c r="BN682" s="17"/>
      <c r="BO682" s="17"/>
      <c r="BP682" s="17"/>
      <c r="BQ682" s="17"/>
      <c r="BR682" s="17"/>
      <c r="BS682" s="17"/>
      <c r="BT682" s="17"/>
      <c r="BU682" s="17"/>
      <c r="BV682" s="17"/>
      <c r="BW682" s="17"/>
      <c r="BX682" s="17"/>
      <c r="BY682" s="17"/>
      <c r="BZ682" s="17"/>
      <c r="CA682" s="17"/>
      <c r="CB682" s="17"/>
      <c r="CC682" s="17"/>
      <c r="CD682" s="17"/>
      <c r="CE682" s="17"/>
      <c r="CF682" s="17"/>
      <c r="CG682" s="17"/>
      <c r="CH682" s="17"/>
      <c r="CI682" s="17"/>
      <c r="CJ682" s="17"/>
      <c r="CK682" s="17"/>
      <c r="CL682" s="17"/>
      <c r="CM682" s="17"/>
      <c r="CN682" s="17"/>
      <c r="CO682" s="17"/>
      <c r="CP682" s="17"/>
      <c r="CQ682" s="17"/>
      <c r="CR682" s="17"/>
      <c r="CS682" s="17"/>
      <c r="CT682" s="17"/>
      <c r="CU682" s="17"/>
      <c r="CV682" s="17"/>
      <c r="CW682" s="17"/>
      <c r="CX682" s="17"/>
      <c r="CY682" s="17"/>
      <c r="CZ682" s="17"/>
      <c r="DA682" s="17"/>
      <c r="DB682" s="17"/>
      <c r="DC682" s="17"/>
      <c r="DD682" s="17"/>
      <c r="DE682" s="17"/>
      <c r="DF682" s="17"/>
      <c r="DG682" s="17"/>
      <c r="DH682" s="17"/>
      <c r="DI682" s="17"/>
      <c r="DJ682" s="17"/>
      <c r="DK682" s="17"/>
      <c r="DL682" s="17"/>
      <c r="DM682" s="17"/>
      <c r="DN682" s="17"/>
      <c r="DO682" s="17"/>
      <c r="DP682" s="17"/>
      <c r="DQ682" s="17"/>
      <c r="DR682" s="17"/>
      <c r="DS682" s="17"/>
      <c r="DT682" s="17"/>
      <c r="DU682" s="17"/>
      <c r="DV682" s="17"/>
      <c r="DW682" s="17"/>
    </row>
    <row r="683" spans="1:127" ht="18" customHeight="1">
      <c r="A683" s="16"/>
      <c r="B683" s="16"/>
      <c r="C683" s="16"/>
      <c r="D683" s="16"/>
      <c r="E683" s="16"/>
      <c r="F683" s="16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  <c r="BK683" s="17"/>
      <c r="BL683" s="17"/>
      <c r="BM683" s="17"/>
      <c r="BN683" s="17"/>
      <c r="BO683" s="17"/>
      <c r="BP683" s="17"/>
      <c r="BQ683" s="17"/>
      <c r="BR683" s="17"/>
      <c r="BS683" s="17"/>
      <c r="BT683" s="17"/>
      <c r="BU683" s="17"/>
      <c r="BV683" s="17"/>
      <c r="BW683" s="17"/>
      <c r="BX683" s="17"/>
      <c r="BY683" s="17"/>
      <c r="BZ683" s="17"/>
      <c r="CA683" s="17"/>
      <c r="CB683" s="17"/>
      <c r="CC683" s="17"/>
      <c r="CD683" s="17"/>
      <c r="CE683" s="17"/>
      <c r="CF683" s="17"/>
      <c r="CG683" s="17"/>
      <c r="CH683" s="17"/>
      <c r="CI683" s="17"/>
      <c r="CJ683" s="17"/>
      <c r="CK683" s="17"/>
      <c r="CL683" s="17"/>
      <c r="CM683" s="17"/>
      <c r="CN683" s="17"/>
      <c r="CO683" s="17"/>
      <c r="CP683" s="17"/>
      <c r="CQ683" s="17"/>
      <c r="CR683" s="17"/>
      <c r="CS683" s="17"/>
      <c r="CT683" s="17"/>
      <c r="CU683" s="17"/>
      <c r="CV683" s="17"/>
      <c r="CW683" s="17"/>
      <c r="CX683" s="17"/>
      <c r="CY683" s="17"/>
      <c r="CZ683" s="17"/>
      <c r="DA683" s="17"/>
      <c r="DB683" s="17"/>
      <c r="DC683" s="17"/>
      <c r="DD683" s="17"/>
      <c r="DE683" s="17"/>
      <c r="DF683" s="17"/>
      <c r="DG683" s="17"/>
      <c r="DH683" s="17"/>
      <c r="DI683" s="17"/>
      <c r="DJ683" s="17"/>
      <c r="DK683" s="17"/>
      <c r="DL683" s="17"/>
      <c r="DM683" s="17"/>
      <c r="DN683" s="17"/>
      <c r="DO683" s="17"/>
      <c r="DP683" s="17"/>
      <c r="DQ683" s="17"/>
      <c r="DR683" s="17"/>
      <c r="DS683" s="17"/>
      <c r="DT683" s="17"/>
      <c r="DU683" s="17"/>
      <c r="DV683" s="17"/>
      <c r="DW683" s="17"/>
    </row>
    <row r="684" spans="1:127" ht="18" customHeight="1">
      <c r="A684" s="16"/>
      <c r="B684" s="16"/>
      <c r="C684" s="16"/>
      <c r="D684" s="16"/>
      <c r="E684" s="16"/>
      <c r="F684" s="16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  <c r="BK684" s="17"/>
      <c r="BL684" s="17"/>
      <c r="BM684" s="17"/>
      <c r="BN684" s="17"/>
      <c r="BO684" s="17"/>
      <c r="BP684" s="17"/>
      <c r="BQ684" s="17"/>
      <c r="BR684" s="17"/>
      <c r="BS684" s="17"/>
      <c r="BT684" s="17"/>
      <c r="BU684" s="17"/>
      <c r="BV684" s="17"/>
      <c r="BW684" s="17"/>
      <c r="BX684" s="17"/>
      <c r="BY684" s="17"/>
      <c r="BZ684" s="17"/>
      <c r="CA684" s="17"/>
      <c r="CB684" s="17"/>
      <c r="CC684" s="17"/>
      <c r="CD684" s="17"/>
      <c r="CE684" s="17"/>
      <c r="CF684" s="17"/>
      <c r="CG684" s="17"/>
      <c r="CH684" s="17"/>
      <c r="CI684" s="17"/>
      <c r="CJ684" s="17"/>
      <c r="CK684" s="17"/>
      <c r="CL684" s="17"/>
      <c r="CM684" s="17"/>
      <c r="CN684" s="17"/>
      <c r="CO684" s="17"/>
      <c r="CP684" s="17"/>
      <c r="CQ684" s="17"/>
      <c r="CR684" s="17"/>
      <c r="CS684" s="17"/>
      <c r="CT684" s="17"/>
      <c r="CU684" s="17"/>
      <c r="CV684" s="17"/>
      <c r="CW684" s="17"/>
      <c r="CX684" s="17"/>
      <c r="CY684" s="17"/>
      <c r="CZ684" s="17"/>
      <c r="DA684" s="17"/>
      <c r="DB684" s="17"/>
      <c r="DC684" s="17"/>
      <c r="DD684" s="17"/>
      <c r="DE684" s="17"/>
      <c r="DF684" s="17"/>
      <c r="DG684" s="17"/>
      <c r="DH684" s="17"/>
      <c r="DI684" s="17"/>
      <c r="DJ684" s="17"/>
      <c r="DK684" s="17"/>
      <c r="DL684" s="17"/>
      <c r="DM684" s="17"/>
      <c r="DN684" s="17"/>
      <c r="DO684" s="17"/>
      <c r="DP684" s="17"/>
      <c r="DQ684" s="17"/>
      <c r="DR684" s="17"/>
      <c r="DS684" s="17"/>
      <c r="DT684" s="17"/>
      <c r="DU684" s="17"/>
      <c r="DV684" s="17"/>
      <c r="DW684" s="17"/>
    </row>
    <row r="685" spans="1:127" ht="18" customHeight="1">
      <c r="A685" s="16"/>
      <c r="B685" s="16"/>
      <c r="C685" s="16"/>
      <c r="D685" s="16"/>
      <c r="E685" s="16"/>
      <c r="F685" s="16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  <c r="BK685" s="17"/>
      <c r="BL685" s="17"/>
      <c r="BM685" s="17"/>
      <c r="BN685" s="17"/>
      <c r="BO685" s="17"/>
      <c r="BP685" s="17"/>
      <c r="BQ685" s="17"/>
      <c r="BR685" s="17"/>
      <c r="BS685" s="17"/>
      <c r="BT685" s="17"/>
      <c r="BU685" s="17"/>
      <c r="BV685" s="17"/>
      <c r="BW685" s="17"/>
      <c r="BX685" s="17"/>
      <c r="BY685" s="17"/>
      <c r="BZ685" s="17"/>
      <c r="CA685" s="17"/>
      <c r="CB685" s="17"/>
      <c r="CC685" s="17"/>
      <c r="CD685" s="17"/>
      <c r="CE685" s="17"/>
      <c r="CF685" s="17"/>
      <c r="CG685" s="17"/>
      <c r="CH685" s="17"/>
      <c r="CI685" s="17"/>
      <c r="CJ685" s="17"/>
      <c r="CK685" s="17"/>
      <c r="CL685" s="17"/>
      <c r="CM685" s="17"/>
      <c r="CN685" s="17"/>
      <c r="CO685" s="17"/>
      <c r="CP685" s="17"/>
      <c r="CQ685" s="17"/>
      <c r="CR685" s="17"/>
      <c r="CS685" s="17"/>
      <c r="CT685" s="17"/>
      <c r="CU685" s="17"/>
      <c r="CV685" s="17"/>
      <c r="CW685" s="17"/>
      <c r="CX685" s="17"/>
      <c r="CY685" s="17"/>
      <c r="CZ685" s="17"/>
      <c r="DA685" s="17"/>
      <c r="DB685" s="17"/>
      <c r="DC685" s="17"/>
      <c r="DD685" s="17"/>
      <c r="DE685" s="17"/>
      <c r="DF685" s="17"/>
      <c r="DG685" s="17"/>
      <c r="DH685" s="17"/>
      <c r="DI685" s="17"/>
      <c r="DJ685" s="17"/>
      <c r="DK685" s="17"/>
      <c r="DL685" s="17"/>
      <c r="DM685" s="17"/>
      <c r="DN685" s="17"/>
      <c r="DO685" s="17"/>
      <c r="DP685" s="17"/>
      <c r="DQ685" s="17"/>
      <c r="DR685" s="17"/>
      <c r="DS685" s="17"/>
      <c r="DT685" s="17"/>
      <c r="DU685" s="17"/>
      <c r="DV685" s="17"/>
      <c r="DW685" s="17"/>
    </row>
    <row r="686" spans="1:127" ht="18" customHeight="1">
      <c r="A686" s="16"/>
      <c r="B686" s="16"/>
      <c r="C686" s="16"/>
      <c r="D686" s="16"/>
      <c r="E686" s="16"/>
      <c r="F686" s="16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  <c r="BK686" s="17"/>
      <c r="BL686" s="17"/>
      <c r="BM686" s="17"/>
      <c r="BN686" s="17"/>
      <c r="BO686" s="17"/>
      <c r="BP686" s="17"/>
      <c r="BQ686" s="17"/>
      <c r="BR686" s="17"/>
      <c r="BS686" s="17"/>
      <c r="BT686" s="17"/>
      <c r="BU686" s="17"/>
      <c r="BV686" s="17"/>
      <c r="BW686" s="17"/>
      <c r="BX686" s="17"/>
      <c r="BY686" s="17"/>
      <c r="BZ686" s="17"/>
      <c r="CA686" s="17"/>
      <c r="CB686" s="17"/>
      <c r="CC686" s="17"/>
      <c r="CD686" s="17"/>
      <c r="CE686" s="17"/>
      <c r="CF686" s="17"/>
      <c r="CG686" s="17"/>
      <c r="CH686" s="17"/>
      <c r="CI686" s="17"/>
      <c r="CJ686" s="17"/>
      <c r="CK686" s="17"/>
      <c r="CL686" s="17"/>
      <c r="CM686" s="17"/>
      <c r="CN686" s="17"/>
      <c r="CO686" s="17"/>
      <c r="CP686" s="17"/>
      <c r="CQ686" s="17"/>
      <c r="CR686" s="17"/>
      <c r="CS686" s="17"/>
      <c r="CT686" s="17"/>
      <c r="CU686" s="17"/>
      <c r="CV686" s="17"/>
      <c r="CW686" s="17"/>
      <c r="CX686" s="17"/>
      <c r="CY686" s="17"/>
      <c r="CZ686" s="17"/>
      <c r="DA686" s="17"/>
      <c r="DB686" s="17"/>
      <c r="DC686" s="17"/>
      <c r="DD686" s="17"/>
      <c r="DE686" s="17"/>
      <c r="DF686" s="17"/>
      <c r="DG686" s="17"/>
      <c r="DH686" s="17"/>
      <c r="DI686" s="17"/>
      <c r="DJ686" s="17"/>
      <c r="DK686" s="17"/>
      <c r="DL686" s="17"/>
      <c r="DM686" s="17"/>
      <c r="DN686" s="17"/>
      <c r="DO686" s="17"/>
      <c r="DP686" s="17"/>
      <c r="DQ686" s="17"/>
      <c r="DR686" s="17"/>
      <c r="DS686" s="17"/>
      <c r="DT686" s="17"/>
      <c r="DU686" s="17"/>
      <c r="DV686" s="17"/>
      <c r="DW686" s="17"/>
    </row>
    <row r="687" spans="1:127" ht="18" customHeight="1">
      <c r="A687" s="16"/>
      <c r="B687" s="16"/>
      <c r="C687" s="16"/>
      <c r="D687" s="16"/>
      <c r="E687" s="16"/>
      <c r="F687" s="16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  <c r="BK687" s="17"/>
      <c r="BL687" s="17"/>
      <c r="BM687" s="17"/>
      <c r="BN687" s="17"/>
      <c r="BO687" s="17"/>
      <c r="BP687" s="17"/>
      <c r="BQ687" s="17"/>
      <c r="BR687" s="17"/>
      <c r="BS687" s="17"/>
      <c r="BT687" s="17"/>
      <c r="BU687" s="17"/>
      <c r="BV687" s="17"/>
      <c r="BW687" s="17"/>
      <c r="BX687" s="17"/>
      <c r="BY687" s="17"/>
      <c r="BZ687" s="17"/>
      <c r="CA687" s="17"/>
      <c r="CB687" s="17"/>
      <c r="CC687" s="17"/>
      <c r="CD687" s="17"/>
      <c r="CE687" s="17"/>
      <c r="CF687" s="17"/>
      <c r="CG687" s="17"/>
      <c r="CH687" s="17"/>
      <c r="CI687" s="17"/>
      <c r="CJ687" s="17"/>
      <c r="CK687" s="17"/>
      <c r="CL687" s="17"/>
      <c r="CM687" s="17"/>
      <c r="CN687" s="17"/>
      <c r="CO687" s="17"/>
      <c r="CP687" s="17"/>
      <c r="CQ687" s="17"/>
      <c r="CR687" s="17"/>
      <c r="CS687" s="17"/>
      <c r="CT687" s="17"/>
      <c r="CU687" s="17"/>
      <c r="CV687" s="17"/>
      <c r="CW687" s="17"/>
      <c r="CX687" s="17"/>
      <c r="CY687" s="17"/>
      <c r="CZ687" s="17"/>
      <c r="DA687" s="17"/>
      <c r="DB687" s="17"/>
      <c r="DC687" s="17"/>
      <c r="DD687" s="17"/>
      <c r="DE687" s="17"/>
      <c r="DF687" s="17"/>
      <c r="DG687" s="17"/>
      <c r="DH687" s="17"/>
      <c r="DI687" s="17"/>
      <c r="DJ687" s="17"/>
      <c r="DK687" s="17"/>
      <c r="DL687" s="17"/>
      <c r="DM687" s="17"/>
      <c r="DN687" s="17"/>
      <c r="DO687" s="17"/>
      <c r="DP687" s="17"/>
      <c r="DQ687" s="17"/>
      <c r="DR687" s="17"/>
      <c r="DS687" s="17"/>
      <c r="DT687" s="17"/>
      <c r="DU687" s="17"/>
      <c r="DV687" s="17"/>
      <c r="DW687" s="17"/>
    </row>
    <row r="688" spans="1:127" ht="18" customHeight="1">
      <c r="A688" s="16"/>
      <c r="B688" s="16"/>
      <c r="C688" s="16"/>
      <c r="D688" s="16"/>
      <c r="E688" s="16"/>
      <c r="F688" s="16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  <c r="BK688" s="17"/>
      <c r="BL688" s="17"/>
      <c r="BM688" s="17"/>
      <c r="BN688" s="17"/>
      <c r="BO688" s="17"/>
      <c r="BP688" s="17"/>
      <c r="BQ688" s="17"/>
      <c r="BR688" s="17"/>
      <c r="BS688" s="17"/>
      <c r="BT688" s="17"/>
      <c r="BU688" s="17"/>
      <c r="BV688" s="17"/>
      <c r="BW688" s="17"/>
      <c r="BX688" s="17"/>
      <c r="BY688" s="17"/>
      <c r="BZ688" s="17"/>
      <c r="CA688" s="17"/>
      <c r="CB688" s="17"/>
      <c r="CC688" s="17"/>
      <c r="CD688" s="17"/>
      <c r="CE688" s="17"/>
      <c r="CF688" s="17"/>
      <c r="CG688" s="17"/>
      <c r="CH688" s="17"/>
      <c r="CI688" s="17"/>
      <c r="CJ688" s="17"/>
      <c r="CK688" s="17"/>
      <c r="CL688" s="17"/>
      <c r="CM688" s="17"/>
      <c r="CN688" s="17"/>
      <c r="CO688" s="17"/>
      <c r="CP688" s="17"/>
      <c r="CQ688" s="17"/>
      <c r="CR688" s="17"/>
      <c r="CS688" s="17"/>
      <c r="CT688" s="17"/>
      <c r="CU688" s="17"/>
      <c r="CV688" s="17"/>
      <c r="CW688" s="17"/>
      <c r="CX688" s="17"/>
      <c r="CY688" s="17"/>
      <c r="CZ688" s="17"/>
      <c r="DA688" s="17"/>
      <c r="DB688" s="17"/>
      <c r="DC688" s="17"/>
      <c r="DD688" s="17"/>
      <c r="DE688" s="17"/>
      <c r="DF688" s="17"/>
      <c r="DG688" s="17"/>
      <c r="DH688" s="17"/>
      <c r="DI688" s="17"/>
      <c r="DJ688" s="17"/>
      <c r="DK688" s="17"/>
      <c r="DL688" s="17"/>
      <c r="DM688" s="17"/>
      <c r="DN688" s="17"/>
      <c r="DO688" s="17"/>
      <c r="DP688" s="17"/>
      <c r="DQ688" s="17"/>
      <c r="DR688" s="17"/>
      <c r="DS688" s="17"/>
      <c r="DT688" s="17"/>
      <c r="DU688" s="17"/>
      <c r="DV688" s="17"/>
      <c r="DW688" s="17"/>
    </row>
    <row r="689" spans="1:127" ht="18" customHeight="1">
      <c r="A689" s="16"/>
      <c r="B689" s="16"/>
      <c r="C689" s="16"/>
      <c r="D689" s="16"/>
      <c r="E689" s="16"/>
      <c r="F689" s="16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  <c r="BK689" s="17"/>
      <c r="BL689" s="17"/>
      <c r="BM689" s="17"/>
      <c r="BN689" s="17"/>
      <c r="BO689" s="17"/>
      <c r="BP689" s="17"/>
      <c r="BQ689" s="17"/>
      <c r="BR689" s="17"/>
      <c r="BS689" s="17"/>
      <c r="BT689" s="17"/>
      <c r="BU689" s="17"/>
      <c r="BV689" s="17"/>
      <c r="BW689" s="17"/>
      <c r="BX689" s="17"/>
      <c r="BY689" s="17"/>
      <c r="BZ689" s="17"/>
      <c r="CA689" s="17"/>
      <c r="CB689" s="17"/>
      <c r="CC689" s="17"/>
      <c r="CD689" s="17"/>
      <c r="CE689" s="17"/>
      <c r="CF689" s="17"/>
      <c r="CG689" s="17"/>
      <c r="CH689" s="17"/>
      <c r="CI689" s="17"/>
      <c r="CJ689" s="17"/>
      <c r="CK689" s="17"/>
      <c r="CL689" s="17"/>
      <c r="CM689" s="17"/>
      <c r="CN689" s="17"/>
      <c r="CO689" s="17"/>
      <c r="CP689" s="17"/>
      <c r="CQ689" s="17"/>
      <c r="CR689" s="17"/>
      <c r="CS689" s="17"/>
      <c r="CT689" s="17"/>
      <c r="CU689" s="17"/>
      <c r="CV689" s="17"/>
      <c r="CW689" s="17"/>
      <c r="CX689" s="17"/>
      <c r="CY689" s="17"/>
      <c r="CZ689" s="17"/>
      <c r="DA689" s="17"/>
      <c r="DB689" s="17"/>
      <c r="DC689" s="17"/>
      <c r="DD689" s="17"/>
      <c r="DE689" s="17"/>
      <c r="DF689" s="17"/>
      <c r="DG689" s="17"/>
      <c r="DH689" s="17"/>
      <c r="DI689" s="17"/>
      <c r="DJ689" s="17"/>
      <c r="DK689" s="17"/>
      <c r="DL689" s="17"/>
      <c r="DM689" s="17"/>
      <c r="DN689" s="17"/>
      <c r="DO689" s="17"/>
      <c r="DP689" s="17"/>
      <c r="DQ689" s="17"/>
      <c r="DR689" s="17"/>
      <c r="DS689" s="17"/>
      <c r="DT689" s="17"/>
      <c r="DU689" s="17"/>
      <c r="DV689" s="17"/>
      <c r="DW689" s="17"/>
    </row>
    <row r="690" spans="1:127" ht="18" customHeight="1">
      <c r="A690" s="16"/>
      <c r="B690" s="16"/>
      <c r="C690" s="16"/>
      <c r="D690" s="16"/>
      <c r="E690" s="16"/>
      <c r="F690" s="16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  <c r="BK690" s="17"/>
      <c r="BL690" s="17"/>
      <c r="BM690" s="17"/>
      <c r="BN690" s="17"/>
      <c r="BO690" s="17"/>
      <c r="BP690" s="17"/>
      <c r="BQ690" s="17"/>
      <c r="BR690" s="17"/>
      <c r="BS690" s="17"/>
      <c r="BT690" s="17"/>
      <c r="BU690" s="17"/>
      <c r="BV690" s="17"/>
      <c r="BW690" s="17"/>
      <c r="BX690" s="17"/>
      <c r="BY690" s="17"/>
      <c r="BZ690" s="17"/>
      <c r="CA690" s="17"/>
      <c r="CB690" s="17"/>
      <c r="CC690" s="17"/>
      <c r="CD690" s="17"/>
      <c r="CE690" s="17"/>
      <c r="CF690" s="17"/>
      <c r="CG690" s="17"/>
      <c r="CH690" s="17"/>
      <c r="CI690" s="17"/>
      <c r="CJ690" s="17"/>
      <c r="CK690" s="17"/>
      <c r="CL690" s="17"/>
      <c r="CM690" s="17"/>
      <c r="CN690" s="17"/>
      <c r="CO690" s="17"/>
      <c r="CP690" s="17"/>
      <c r="CQ690" s="17"/>
      <c r="CR690" s="17"/>
      <c r="CS690" s="17"/>
      <c r="CT690" s="17"/>
      <c r="CU690" s="17"/>
      <c r="CV690" s="17"/>
      <c r="CW690" s="17"/>
      <c r="CX690" s="17"/>
      <c r="CY690" s="17"/>
      <c r="CZ690" s="17"/>
      <c r="DA690" s="17"/>
      <c r="DB690" s="17"/>
      <c r="DC690" s="17"/>
      <c r="DD690" s="17"/>
      <c r="DE690" s="17"/>
      <c r="DF690" s="17"/>
      <c r="DG690" s="17"/>
      <c r="DH690" s="17"/>
      <c r="DI690" s="17"/>
      <c r="DJ690" s="17"/>
      <c r="DK690" s="17"/>
      <c r="DL690" s="17"/>
      <c r="DM690" s="17"/>
      <c r="DN690" s="17"/>
      <c r="DO690" s="17"/>
      <c r="DP690" s="17"/>
      <c r="DQ690" s="17"/>
      <c r="DR690" s="17"/>
      <c r="DS690" s="17"/>
      <c r="DT690" s="17"/>
      <c r="DU690" s="17"/>
      <c r="DV690" s="17"/>
      <c r="DW690" s="17"/>
    </row>
    <row r="691" spans="1:127" ht="18" customHeight="1">
      <c r="A691" s="16"/>
      <c r="B691" s="16"/>
      <c r="C691" s="16"/>
      <c r="D691" s="16"/>
      <c r="E691" s="16"/>
      <c r="F691" s="16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  <c r="BK691" s="17"/>
      <c r="BL691" s="17"/>
      <c r="BM691" s="17"/>
      <c r="BN691" s="17"/>
      <c r="BO691" s="17"/>
      <c r="BP691" s="17"/>
      <c r="BQ691" s="17"/>
      <c r="BR691" s="17"/>
      <c r="BS691" s="17"/>
      <c r="BT691" s="17"/>
      <c r="BU691" s="17"/>
      <c r="BV691" s="17"/>
      <c r="BW691" s="17"/>
      <c r="BX691" s="17"/>
      <c r="BY691" s="17"/>
      <c r="BZ691" s="17"/>
      <c r="CA691" s="17"/>
      <c r="CB691" s="17"/>
      <c r="CC691" s="17"/>
      <c r="CD691" s="17"/>
      <c r="CE691" s="17"/>
      <c r="CF691" s="17"/>
      <c r="CG691" s="17"/>
      <c r="CH691" s="17"/>
      <c r="CI691" s="17"/>
      <c r="CJ691" s="17"/>
      <c r="CK691" s="17"/>
      <c r="CL691" s="17"/>
      <c r="CM691" s="17"/>
      <c r="CN691" s="17"/>
      <c r="CO691" s="17"/>
      <c r="CP691" s="17"/>
      <c r="CQ691" s="17"/>
      <c r="CR691" s="17"/>
      <c r="CS691" s="17"/>
      <c r="CT691" s="17"/>
      <c r="CU691" s="17"/>
      <c r="CV691" s="17"/>
      <c r="CW691" s="17"/>
      <c r="CX691" s="17"/>
      <c r="CY691" s="17"/>
      <c r="CZ691" s="17"/>
      <c r="DA691" s="17"/>
      <c r="DB691" s="17"/>
      <c r="DC691" s="17"/>
      <c r="DD691" s="17"/>
      <c r="DE691" s="17"/>
      <c r="DF691" s="17"/>
      <c r="DG691" s="17"/>
      <c r="DH691" s="17"/>
      <c r="DI691" s="17"/>
      <c r="DJ691" s="17"/>
      <c r="DK691" s="17"/>
      <c r="DL691" s="17"/>
      <c r="DM691" s="17"/>
      <c r="DN691" s="17"/>
      <c r="DO691" s="17"/>
      <c r="DP691" s="17"/>
      <c r="DQ691" s="17"/>
      <c r="DR691" s="17"/>
      <c r="DS691" s="17"/>
      <c r="DT691" s="17"/>
      <c r="DU691" s="17"/>
      <c r="DV691" s="17"/>
      <c r="DW691" s="17"/>
    </row>
    <row r="692" spans="1:127" ht="18" customHeight="1">
      <c r="A692" s="16"/>
      <c r="B692" s="16"/>
      <c r="C692" s="16"/>
      <c r="D692" s="16"/>
      <c r="E692" s="16"/>
      <c r="F692" s="16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  <c r="BK692" s="17"/>
      <c r="BL692" s="17"/>
      <c r="BM692" s="17"/>
      <c r="BN692" s="17"/>
      <c r="BO692" s="17"/>
      <c r="BP692" s="17"/>
      <c r="BQ692" s="17"/>
      <c r="BR692" s="17"/>
      <c r="BS692" s="17"/>
      <c r="BT692" s="17"/>
      <c r="BU692" s="17"/>
      <c r="BV692" s="17"/>
      <c r="BW692" s="17"/>
      <c r="BX692" s="17"/>
      <c r="BY692" s="17"/>
      <c r="BZ692" s="17"/>
      <c r="CA692" s="17"/>
      <c r="CB692" s="17"/>
      <c r="CC692" s="17"/>
      <c r="CD692" s="17"/>
      <c r="CE692" s="17"/>
      <c r="CF692" s="17"/>
      <c r="CG692" s="17"/>
      <c r="CH692" s="17"/>
      <c r="CI692" s="17"/>
      <c r="CJ692" s="17"/>
      <c r="CK692" s="17"/>
      <c r="CL692" s="17"/>
      <c r="CM692" s="17"/>
      <c r="CN692" s="17"/>
      <c r="CO692" s="17"/>
      <c r="CP692" s="17"/>
      <c r="CQ692" s="17"/>
      <c r="CR692" s="17"/>
      <c r="CS692" s="17"/>
      <c r="CT692" s="17"/>
      <c r="CU692" s="17"/>
      <c r="CV692" s="17"/>
      <c r="CW692" s="17"/>
      <c r="CX692" s="17"/>
      <c r="CY692" s="17"/>
      <c r="CZ692" s="17"/>
      <c r="DA692" s="17"/>
      <c r="DB692" s="17"/>
      <c r="DC692" s="17"/>
      <c r="DD692" s="17"/>
      <c r="DE692" s="17"/>
      <c r="DF692" s="17"/>
      <c r="DG692" s="17"/>
      <c r="DH692" s="17"/>
      <c r="DI692" s="17"/>
      <c r="DJ692" s="17"/>
      <c r="DK692" s="17"/>
      <c r="DL692" s="17"/>
      <c r="DM692" s="17"/>
      <c r="DN692" s="17"/>
      <c r="DO692" s="17"/>
      <c r="DP692" s="17"/>
      <c r="DQ692" s="17"/>
      <c r="DR692" s="17"/>
      <c r="DS692" s="17"/>
      <c r="DT692" s="17"/>
      <c r="DU692" s="17"/>
      <c r="DV692" s="17"/>
      <c r="DW692" s="17"/>
    </row>
    <row r="693" spans="1:127" ht="18" customHeight="1">
      <c r="A693" s="16"/>
      <c r="B693" s="16"/>
      <c r="C693" s="16"/>
      <c r="D693" s="16"/>
      <c r="E693" s="16"/>
      <c r="F693" s="16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  <c r="BK693" s="17"/>
      <c r="BL693" s="17"/>
      <c r="BM693" s="17"/>
      <c r="BN693" s="17"/>
      <c r="BO693" s="17"/>
      <c r="BP693" s="17"/>
      <c r="BQ693" s="17"/>
      <c r="BR693" s="17"/>
      <c r="BS693" s="17"/>
      <c r="BT693" s="17"/>
      <c r="BU693" s="17"/>
      <c r="BV693" s="17"/>
      <c r="BW693" s="17"/>
      <c r="BX693" s="17"/>
      <c r="BY693" s="17"/>
      <c r="BZ693" s="17"/>
      <c r="CA693" s="17"/>
      <c r="CB693" s="17"/>
      <c r="CC693" s="17"/>
      <c r="CD693" s="17"/>
      <c r="CE693" s="17"/>
      <c r="CF693" s="17"/>
      <c r="CG693" s="17"/>
      <c r="CH693" s="17"/>
      <c r="CI693" s="17"/>
      <c r="CJ693" s="17"/>
      <c r="CK693" s="17"/>
      <c r="CL693" s="17"/>
      <c r="CM693" s="17"/>
      <c r="CN693" s="17"/>
      <c r="CO693" s="17"/>
      <c r="CP693" s="17"/>
      <c r="CQ693" s="17"/>
      <c r="CR693" s="17"/>
      <c r="CS693" s="17"/>
      <c r="CT693" s="17"/>
      <c r="CU693" s="17"/>
      <c r="CV693" s="17"/>
      <c r="CW693" s="17"/>
      <c r="CX693" s="17"/>
      <c r="CY693" s="17"/>
      <c r="CZ693" s="17"/>
      <c r="DA693" s="17"/>
      <c r="DB693" s="17"/>
      <c r="DC693" s="17"/>
      <c r="DD693" s="17"/>
      <c r="DE693" s="17"/>
      <c r="DF693" s="17"/>
      <c r="DG693" s="17"/>
      <c r="DH693" s="17"/>
      <c r="DI693" s="17"/>
      <c r="DJ693" s="17"/>
      <c r="DK693" s="17"/>
      <c r="DL693" s="17"/>
      <c r="DM693" s="17"/>
      <c r="DN693" s="17"/>
      <c r="DO693" s="17"/>
      <c r="DP693" s="17"/>
      <c r="DQ693" s="17"/>
      <c r="DR693" s="17"/>
      <c r="DS693" s="17"/>
      <c r="DT693" s="17"/>
      <c r="DU693" s="17"/>
      <c r="DV693" s="17"/>
      <c r="DW693" s="17"/>
    </row>
    <row r="694" spans="1:127" ht="18" customHeight="1">
      <c r="A694" s="16"/>
      <c r="B694" s="16"/>
      <c r="C694" s="16"/>
      <c r="D694" s="16"/>
      <c r="E694" s="16"/>
      <c r="F694" s="16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  <c r="BK694" s="17"/>
      <c r="BL694" s="17"/>
      <c r="BM694" s="17"/>
      <c r="BN694" s="17"/>
      <c r="BO694" s="17"/>
      <c r="BP694" s="17"/>
      <c r="BQ694" s="17"/>
      <c r="BR694" s="17"/>
      <c r="BS694" s="17"/>
      <c r="BT694" s="17"/>
      <c r="BU694" s="17"/>
      <c r="BV694" s="17"/>
      <c r="BW694" s="17"/>
      <c r="BX694" s="17"/>
      <c r="BY694" s="17"/>
      <c r="BZ694" s="17"/>
      <c r="CA694" s="17"/>
      <c r="CB694" s="17"/>
      <c r="CC694" s="17"/>
      <c r="CD694" s="17"/>
      <c r="CE694" s="17"/>
      <c r="CF694" s="17"/>
      <c r="CG694" s="17"/>
      <c r="CH694" s="17"/>
      <c r="CI694" s="17"/>
      <c r="CJ694" s="17"/>
      <c r="CK694" s="17"/>
      <c r="CL694" s="17"/>
      <c r="CM694" s="17"/>
      <c r="CN694" s="17"/>
      <c r="CO694" s="17"/>
      <c r="CP694" s="17"/>
      <c r="CQ694" s="17"/>
      <c r="CR694" s="17"/>
      <c r="CS694" s="17"/>
      <c r="CT694" s="17"/>
      <c r="CU694" s="17"/>
      <c r="CV694" s="17"/>
      <c r="CW694" s="17"/>
      <c r="CX694" s="17"/>
      <c r="CY694" s="17"/>
      <c r="CZ694" s="17"/>
      <c r="DA694" s="17"/>
      <c r="DB694" s="17"/>
      <c r="DC694" s="17"/>
      <c r="DD694" s="17"/>
      <c r="DE694" s="17"/>
      <c r="DF694" s="17"/>
      <c r="DG694" s="17"/>
      <c r="DH694" s="17"/>
      <c r="DI694" s="17"/>
      <c r="DJ694" s="17"/>
      <c r="DK694" s="17"/>
      <c r="DL694" s="17"/>
      <c r="DM694" s="17"/>
      <c r="DN694" s="17"/>
      <c r="DO694" s="17"/>
      <c r="DP694" s="17"/>
      <c r="DQ694" s="17"/>
      <c r="DR694" s="17"/>
      <c r="DS694" s="17"/>
      <c r="DT694" s="17"/>
      <c r="DU694" s="17"/>
      <c r="DV694" s="17"/>
      <c r="DW694" s="17"/>
    </row>
    <row r="695" spans="1:127" ht="18" customHeight="1">
      <c r="A695" s="16"/>
      <c r="B695" s="16"/>
      <c r="C695" s="16"/>
      <c r="D695" s="16"/>
      <c r="E695" s="16"/>
      <c r="F695" s="16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  <c r="BK695" s="17"/>
      <c r="BL695" s="17"/>
      <c r="BM695" s="17"/>
      <c r="BN695" s="17"/>
      <c r="BO695" s="17"/>
      <c r="BP695" s="17"/>
      <c r="BQ695" s="17"/>
      <c r="BR695" s="17"/>
      <c r="BS695" s="17"/>
      <c r="BT695" s="17"/>
      <c r="BU695" s="17"/>
      <c r="BV695" s="17"/>
      <c r="BW695" s="17"/>
      <c r="BX695" s="17"/>
      <c r="BY695" s="17"/>
      <c r="BZ695" s="17"/>
      <c r="CA695" s="17"/>
      <c r="CB695" s="17"/>
      <c r="CC695" s="17"/>
      <c r="CD695" s="17"/>
      <c r="CE695" s="17"/>
      <c r="CF695" s="17"/>
      <c r="CG695" s="17"/>
      <c r="CH695" s="17"/>
      <c r="CI695" s="17"/>
      <c r="CJ695" s="17"/>
      <c r="CK695" s="17"/>
      <c r="CL695" s="17"/>
      <c r="CM695" s="17"/>
      <c r="CN695" s="17"/>
      <c r="CO695" s="17"/>
      <c r="CP695" s="17"/>
      <c r="CQ695" s="17"/>
      <c r="CR695" s="17"/>
      <c r="CS695" s="17"/>
      <c r="CT695" s="17"/>
      <c r="CU695" s="17"/>
      <c r="CV695" s="17"/>
      <c r="CW695" s="17"/>
      <c r="CX695" s="17"/>
      <c r="CY695" s="17"/>
      <c r="CZ695" s="17"/>
      <c r="DA695" s="17"/>
      <c r="DB695" s="17"/>
      <c r="DC695" s="17"/>
      <c r="DD695" s="17"/>
      <c r="DE695" s="17"/>
      <c r="DF695" s="17"/>
      <c r="DG695" s="17"/>
      <c r="DH695" s="17"/>
      <c r="DI695" s="17"/>
      <c r="DJ695" s="17"/>
      <c r="DK695" s="17"/>
      <c r="DL695" s="17"/>
      <c r="DM695" s="17"/>
      <c r="DN695" s="17"/>
      <c r="DO695" s="17"/>
      <c r="DP695" s="17"/>
      <c r="DQ695" s="17"/>
      <c r="DR695" s="17"/>
      <c r="DS695" s="17"/>
      <c r="DT695" s="17"/>
      <c r="DU695" s="17"/>
      <c r="DV695" s="17"/>
      <c r="DW695" s="17"/>
    </row>
    <row r="696" spans="1:127" ht="18" customHeight="1">
      <c r="A696" s="16"/>
      <c r="B696" s="16"/>
      <c r="C696" s="16"/>
      <c r="D696" s="16"/>
      <c r="E696" s="16"/>
      <c r="F696" s="16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  <c r="BK696" s="17"/>
      <c r="BL696" s="17"/>
      <c r="BM696" s="17"/>
      <c r="BN696" s="17"/>
      <c r="BO696" s="17"/>
      <c r="BP696" s="17"/>
      <c r="BQ696" s="17"/>
      <c r="BR696" s="17"/>
      <c r="BS696" s="17"/>
      <c r="BT696" s="17"/>
      <c r="BU696" s="17"/>
      <c r="BV696" s="17"/>
      <c r="BW696" s="17"/>
      <c r="BX696" s="17"/>
      <c r="BY696" s="17"/>
      <c r="BZ696" s="17"/>
      <c r="CA696" s="17"/>
      <c r="CB696" s="17"/>
      <c r="CC696" s="17"/>
      <c r="CD696" s="17"/>
      <c r="CE696" s="17"/>
      <c r="CF696" s="17"/>
      <c r="CG696" s="17"/>
      <c r="CH696" s="17"/>
      <c r="CI696" s="17"/>
      <c r="CJ696" s="17"/>
      <c r="CK696" s="17"/>
      <c r="CL696" s="17"/>
      <c r="CM696" s="17"/>
      <c r="CN696" s="17"/>
      <c r="CO696" s="17"/>
      <c r="CP696" s="17"/>
      <c r="CQ696" s="17"/>
      <c r="CR696" s="17"/>
      <c r="CS696" s="17"/>
      <c r="CT696" s="17"/>
      <c r="CU696" s="17"/>
      <c r="CV696" s="17"/>
      <c r="CW696" s="17"/>
      <c r="CX696" s="17"/>
      <c r="CY696" s="17"/>
      <c r="CZ696" s="17"/>
      <c r="DA696" s="17"/>
      <c r="DB696" s="17"/>
      <c r="DC696" s="17"/>
      <c r="DD696" s="17"/>
      <c r="DE696" s="17"/>
      <c r="DF696" s="17"/>
      <c r="DG696" s="17"/>
      <c r="DH696" s="17"/>
      <c r="DI696" s="17"/>
      <c r="DJ696" s="17"/>
      <c r="DK696" s="17"/>
      <c r="DL696" s="17"/>
      <c r="DM696" s="17"/>
      <c r="DN696" s="17"/>
      <c r="DO696" s="17"/>
      <c r="DP696" s="17"/>
      <c r="DQ696" s="17"/>
      <c r="DR696" s="17"/>
      <c r="DS696" s="17"/>
      <c r="DT696" s="17"/>
      <c r="DU696" s="17"/>
      <c r="DV696" s="17"/>
      <c r="DW696" s="17"/>
    </row>
    <row r="697" spans="1:127" ht="18" customHeight="1">
      <c r="A697" s="16"/>
      <c r="B697" s="16"/>
      <c r="C697" s="16"/>
      <c r="D697" s="16"/>
      <c r="E697" s="16"/>
      <c r="F697" s="16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  <c r="BK697" s="17"/>
      <c r="BL697" s="17"/>
      <c r="BM697" s="17"/>
      <c r="BN697" s="17"/>
      <c r="BO697" s="17"/>
      <c r="BP697" s="17"/>
      <c r="BQ697" s="17"/>
      <c r="BR697" s="17"/>
      <c r="BS697" s="17"/>
      <c r="BT697" s="17"/>
      <c r="BU697" s="17"/>
      <c r="BV697" s="17"/>
      <c r="BW697" s="17"/>
      <c r="BX697" s="17"/>
      <c r="BY697" s="17"/>
      <c r="BZ697" s="17"/>
      <c r="CA697" s="17"/>
      <c r="CB697" s="17"/>
      <c r="CC697" s="17"/>
      <c r="CD697" s="17"/>
      <c r="CE697" s="17"/>
      <c r="CF697" s="17"/>
      <c r="CG697" s="17"/>
      <c r="CH697" s="17"/>
      <c r="CI697" s="17"/>
      <c r="CJ697" s="17"/>
      <c r="CK697" s="17"/>
      <c r="CL697" s="17"/>
      <c r="CM697" s="17"/>
      <c r="CN697" s="17"/>
      <c r="CO697" s="17"/>
      <c r="CP697" s="17"/>
      <c r="CQ697" s="17"/>
      <c r="CR697" s="17"/>
      <c r="CS697" s="17"/>
      <c r="CT697" s="17"/>
      <c r="CU697" s="17"/>
      <c r="CV697" s="17"/>
      <c r="CW697" s="17"/>
      <c r="CX697" s="17"/>
      <c r="CY697" s="17"/>
      <c r="CZ697" s="17"/>
      <c r="DA697" s="17"/>
      <c r="DB697" s="17"/>
      <c r="DC697" s="17"/>
      <c r="DD697" s="17"/>
      <c r="DE697" s="17"/>
      <c r="DF697" s="17"/>
      <c r="DG697" s="17"/>
      <c r="DH697" s="17"/>
      <c r="DI697" s="17"/>
      <c r="DJ697" s="17"/>
      <c r="DK697" s="17"/>
      <c r="DL697" s="17"/>
      <c r="DM697" s="17"/>
      <c r="DN697" s="17"/>
      <c r="DO697" s="17"/>
      <c r="DP697" s="17"/>
      <c r="DQ697" s="17"/>
      <c r="DR697" s="17"/>
      <c r="DS697" s="17"/>
      <c r="DT697" s="17"/>
      <c r="DU697" s="17"/>
      <c r="DV697" s="17"/>
      <c r="DW697" s="17"/>
    </row>
    <row r="698" spans="1:127" ht="18" customHeight="1">
      <c r="A698" s="16"/>
      <c r="B698" s="16"/>
      <c r="C698" s="16"/>
      <c r="D698" s="16"/>
      <c r="E698" s="16"/>
      <c r="F698" s="16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  <c r="BK698" s="17"/>
      <c r="BL698" s="17"/>
      <c r="BM698" s="17"/>
      <c r="BN698" s="17"/>
      <c r="BO698" s="17"/>
      <c r="BP698" s="17"/>
      <c r="BQ698" s="17"/>
      <c r="BR698" s="17"/>
      <c r="BS698" s="17"/>
      <c r="BT698" s="17"/>
      <c r="BU698" s="17"/>
      <c r="BV698" s="17"/>
      <c r="BW698" s="17"/>
      <c r="BX698" s="17"/>
      <c r="BY698" s="17"/>
      <c r="BZ698" s="17"/>
      <c r="CA698" s="17"/>
      <c r="CB698" s="17"/>
      <c r="CC698" s="17"/>
      <c r="CD698" s="17"/>
      <c r="CE698" s="17"/>
      <c r="CF698" s="17"/>
      <c r="CG698" s="17"/>
      <c r="CH698" s="17"/>
      <c r="CI698" s="17"/>
      <c r="CJ698" s="17"/>
      <c r="CK698" s="17"/>
      <c r="CL698" s="17"/>
      <c r="CM698" s="17"/>
      <c r="CN698" s="17"/>
      <c r="CO698" s="17"/>
      <c r="CP698" s="17"/>
      <c r="CQ698" s="17"/>
      <c r="CR698" s="17"/>
      <c r="CS698" s="17"/>
      <c r="CT698" s="17"/>
      <c r="CU698" s="17"/>
      <c r="CV698" s="17"/>
      <c r="CW698" s="17"/>
      <c r="CX698" s="17"/>
      <c r="CY698" s="17"/>
      <c r="CZ698" s="17"/>
      <c r="DA698" s="17"/>
      <c r="DB698" s="17"/>
      <c r="DC698" s="17"/>
      <c r="DD698" s="17"/>
      <c r="DE698" s="17"/>
      <c r="DF698" s="17"/>
      <c r="DG698" s="17"/>
      <c r="DH698" s="17"/>
      <c r="DI698" s="17"/>
      <c r="DJ698" s="17"/>
      <c r="DK698" s="17"/>
      <c r="DL698" s="17"/>
      <c r="DM698" s="17"/>
      <c r="DN698" s="17"/>
      <c r="DO698" s="17"/>
      <c r="DP698" s="17"/>
      <c r="DQ698" s="17"/>
      <c r="DR698" s="17"/>
      <c r="DS698" s="17"/>
      <c r="DT698" s="17"/>
      <c r="DU698" s="17"/>
      <c r="DV698" s="17"/>
      <c r="DW698" s="17"/>
    </row>
    <row r="699" spans="1:127" ht="18" customHeight="1">
      <c r="A699" s="16"/>
      <c r="B699" s="16"/>
      <c r="C699" s="16"/>
      <c r="D699" s="16"/>
      <c r="E699" s="16"/>
      <c r="F699" s="16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  <c r="BK699" s="17"/>
      <c r="BL699" s="17"/>
      <c r="BM699" s="17"/>
      <c r="BN699" s="17"/>
      <c r="BO699" s="17"/>
      <c r="BP699" s="17"/>
      <c r="BQ699" s="17"/>
      <c r="BR699" s="17"/>
      <c r="BS699" s="17"/>
      <c r="BT699" s="17"/>
      <c r="BU699" s="17"/>
      <c r="BV699" s="17"/>
      <c r="BW699" s="17"/>
      <c r="BX699" s="17"/>
      <c r="BY699" s="17"/>
      <c r="BZ699" s="17"/>
      <c r="CA699" s="17"/>
      <c r="CB699" s="17"/>
      <c r="CC699" s="17"/>
      <c r="CD699" s="17"/>
      <c r="CE699" s="17"/>
      <c r="CF699" s="17"/>
      <c r="CG699" s="17"/>
      <c r="CH699" s="17"/>
      <c r="CI699" s="17"/>
      <c r="CJ699" s="17"/>
      <c r="CK699" s="17"/>
      <c r="CL699" s="17"/>
      <c r="CM699" s="17"/>
      <c r="CN699" s="17"/>
      <c r="CO699" s="17"/>
      <c r="CP699" s="17"/>
      <c r="CQ699" s="17"/>
      <c r="CR699" s="17"/>
      <c r="CS699" s="17"/>
      <c r="CT699" s="17"/>
      <c r="CU699" s="17"/>
      <c r="CV699" s="17"/>
      <c r="CW699" s="17"/>
      <c r="CX699" s="17"/>
      <c r="CY699" s="17"/>
      <c r="CZ699" s="17"/>
      <c r="DA699" s="17"/>
      <c r="DB699" s="17"/>
      <c r="DC699" s="17"/>
      <c r="DD699" s="17"/>
      <c r="DE699" s="17"/>
      <c r="DF699" s="17"/>
      <c r="DG699" s="17"/>
      <c r="DH699" s="17"/>
      <c r="DI699" s="17"/>
      <c r="DJ699" s="17"/>
      <c r="DK699" s="17"/>
      <c r="DL699" s="17"/>
      <c r="DM699" s="17"/>
      <c r="DN699" s="17"/>
      <c r="DO699" s="17"/>
      <c r="DP699" s="17"/>
      <c r="DQ699" s="17"/>
      <c r="DR699" s="17"/>
      <c r="DS699" s="17"/>
      <c r="DT699" s="17"/>
      <c r="DU699" s="17"/>
      <c r="DV699" s="17"/>
      <c r="DW699" s="17"/>
    </row>
    <row r="700" spans="1:127" ht="18" customHeight="1">
      <c r="A700" s="16"/>
      <c r="B700" s="16"/>
      <c r="C700" s="16"/>
      <c r="D700" s="16"/>
      <c r="E700" s="16"/>
      <c r="F700" s="16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  <c r="BK700" s="17"/>
      <c r="BL700" s="17"/>
      <c r="BM700" s="17"/>
      <c r="BN700" s="17"/>
      <c r="BO700" s="17"/>
      <c r="BP700" s="17"/>
      <c r="BQ700" s="17"/>
      <c r="BR700" s="17"/>
      <c r="BS700" s="17"/>
      <c r="BT700" s="17"/>
      <c r="BU700" s="17"/>
      <c r="BV700" s="17"/>
      <c r="BW700" s="17"/>
      <c r="BX700" s="17"/>
      <c r="BY700" s="17"/>
      <c r="BZ700" s="17"/>
      <c r="CA700" s="17"/>
      <c r="CB700" s="17"/>
      <c r="CC700" s="17"/>
      <c r="CD700" s="17"/>
      <c r="CE700" s="17"/>
      <c r="CF700" s="17"/>
      <c r="CG700" s="17"/>
      <c r="CH700" s="17"/>
      <c r="CI700" s="17"/>
      <c r="CJ700" s="17"/>
      <c r="CK700" s="17"/>
      <c r="CL700" s="17"/>
      <c r="CM700" s="17"/>
      <c r="CN700" s="17"/>
      <c r="CO700" s="17"/>
      <c r="CP700" s="17"/>
      <c r="CQ700" s="17"/>
      <c r="CR700" s="17"/>
      <c r="CS700" s="17"/>
      <c r="CT700" s="17"/>
      <c r="CU700" s="17"/>
      <c r="CV700" s="17"/>
      <c r="CW700" s="17"/>
      <c r="CX700" s="17"/>
      <c r="CY700" s="17"/>
      <c r="CZ700" s="17"/>
      <c r="DA700" s="17"/>
      <c r="DB700" s="17"/>
      <c r="DC700" s="17"/>
      <c r="DD700" s="17"/>
      <c r="DE700" s="17"/>
      <c r="DF700" s="17"/>
      <c r="DG700" s="17"/>
      <c r="DH700" s="17"/>
      <c r="DI700" s="17"/>
      <c r="DJ700" s="17"/>
      <c r="DK700" s="17"/>
      <c r="DL700" s="17"/>
      <c r="DM700" s="17"/>
      <c r="DN700" s="17"/>
      <c r="DO700" s="17"/>
      <c r="DP700" s="17"/>
      <c r="DQ700" s="17"/>
      <c r="DR700" s="17"/>
      <c r="DS700" s="17"/>
      <c r="DT700" s="17"/>
      <c r="DU700" s="17"/>
      <c r="DV700" s="17"/>
      <c r="DW700" s="17"/>
    </row>
    <row r="701" spans="1:127" ht="18" customHeight="1">
      <c r="A701" s="16"/>
      <c r="B701" s="16"/>
      <c r="C701" s="16"/>
      <c r="D701" s="16"/>
      <c r="E701" s="16"/>
      <c r="F701" s="16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  <c r="BK701" s="17"/>
      <c r="BL701" s="17"/>
      <c r="BM701" s="17"/>
      <c r="BN701" s="17"/>
      <c r="BO701" s="17"/>
      <c r="BP701" s="17"/>
      <c r="BQ701" s="17"/>
      <c r="BR701" s="17"/>
      <c r="BS701" s="17"/>
      <c r="BT701" s="17"/>
      <c r="BU701" s="17"/>
      <c r="BV701" s="17"/>
      <c r="BW701" s="17"/>
      <c r="BX701" s="17"/>
      <c r="BY701" s="17"/>
      <c r="BZ701" s="17"/>
      <c r="CA701" s="17"/>
      <c r="CB701" s="17"/>
      <c r="CC701" s="17"/>
      <c r="CD701" s="17"/>
      <c r="CE701" s="17"/>
      <c r="CF701" s="17"/>
      <c r="CG701" s="17"/>
      <c r="CH701" s="17"/>
      <c r="CI701" s="17"/>
      <c r="CJ701" s="17"/>
      <c r="CK701" s="17"/>
      <c r="CL701" s="17"/>
      <c r="CM701" s="17"/>
      <c r="CN701" s="17"/>
      <c r="CO701" s="17"/>
      <c r="CP701" s="17"/>
      <c r="CQ701" s="17"/>
      <c r="CR701" s="17"/>
      <c r="CS701" s="17"/>
      <c r="CT701" s="17"/>
      <c r="CU701" s="17"/>
      <c r="CV701" s="17"/>
      <c r="CW701" s="17"/>
      <c r="CX701" s="17"/>
      <c r="CY701" s="17"/>
      <c r="CZ701" s="17"/>
      <c r="DA701" s="17"/>
      <c r="DB701" s="17"/>
      <c r="DC701" s="17"/>
      <c r="DD701" s="17"/>
      <c r="DE701" s="17"/>
      <c r="DF701" s="17"/>
      <c r="DG701" s="17"/>
      <c r="DH701" s="17"/>
      <c r="DI701" s="17"/>
      <c r="DJ701" s="17"/>
      <c r="DK701" s="17"/>
      <c r="DL701" s="17"/>
      <c r="DM701" s="17"/>
      <c r="DN701" s="17"/>
      <c r="DO701" s="17"/>
      <c r="DP701" s="17"/>
      <c r="DQ701" s="17"/>
      <c r="DR701" s="17"/>
      <c r="DS701" s="17"/>
      <c r="DT701" s="17"/>
      <c r="DU701" s="17"/>
      <c r="DV701" s="17"/>
      <c r="DW701" s="17"/>
    </row>
    <row r="702" spans="1:127" ht="18" customHeight="1">
      <c r="A702" s="16"/>
      <c r="B702" s="16"/>
      <c r="C702" s="16"/>
      <c r="D702" s="16"/>
      <c r="E702" s="16"/>
      <c r="F702" s="16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  <c r="BK702" s="17"/>
      <c r="BL702" s="17"/>
      <c r="BM702" s="17"/>
      <c r="BN702" s="17"/>
      <c r="BO702" s="17"/>
      <c r="BP702" s="17"/>
      <c r="BQ702" s="17"/>
      <c r="BR702" s="17"/>
      <c r="BS702" s="17"/>
      <c r="BT702" s="17"/>
      <c r="BU702" s="17"/>
      <c r="BV702" s="17"/>
      <c r="BW702" s="17"/>
      <c r="BX702" s="17"/>
      <c r="BY702" s="17"/>
      <c r="BZ702" s="17"/>
      <c r="CA702" s="17"/>
      <c r="CB702" s="17"/>
      <c r="CC702" s="17"/>
      <c r="CD702" s="17"/>
      <c r="CE702" s="17"/>
      <c r="CF702" s="17"/>
      <c r="CG702" s="17"/>
      <c r="CH702" s="17"/>
      <c r="CI702" s="17"/>
      <c r="CJ702" s="17"/>
      <c r="CK702" s="17"/>
      <c r="CL702" s="17"/>
      <c r="CM702" s="17"/>
      <c r="CN702" s="17"/>
      <c r="CO702" s="17"/>
      <c r="CP702" s="17"/>
      <c r="CQ702" s="17"/>
      <c r="CR702" s="17"/>
      <c r="CS702" s="17"/>
      <c r="CT702" s="17"/>
      <c r="CU702" s="17"/>
      <c r="CV702" s="17"/>
      <c r="CW702" s="17"/>
      <c r="CX702" s="17"/>
      <c r="CY702" s="17"/>
      <c r="CZ702" s="17"/>
      <c r="DA702" s="17"/>
      <c r="DB702" s="17"/>
      <c r="DC702" s="17"/>
      <c r="DD702" s="17"/>
      <c r="DE702" s="17"/>
      <c r="DF702" s="17"/>
      <c r="DG702" s="17"/>
      <c r="DH702" s="17"/>
      <c r="DI702" s="17"/>
      <c r="DJ702" s="17"/>
      <c r="DK702" s="17"/>
      <c r="DL702" s="17"/>
      <c r="DM702" s="17"/>
      <c r="DN702" s="17"/>
      <c r="DO702" s="17"/>
      <c r="DP702" s="17"/>
      <c r="DQ702" s="17"/>
      <c r="DR702" s="17"/>
      <c r="DS702" s="17"/>
      <c r="DT702" s="17"/>
      <c r="DU702" s="17"/>
      <c r="DV702" s="17"/>
      <c r="DW702" s="17"/>
    </row>
    <row r="703" spans="1:127" ht="18" customHeight="1">
      <c r="A703" s="16"/>
      <c r="B703" s="16"/>
      <c r="C703" s="16"/>
      <c r="D703" s="16"/>
      <c r="E703" s="16"/>
      <c r="F703" s="16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  <c r="BK703" s="17"/>
      <c r="BL703" s="17"/>
      <c r="BM703" s="17"/>
      <c r="BN703" s="17"/>
      <c r="BO703" s="17"/>
      <c r="BP703" s="17"/>
      <c r="BQ703" s="17"/>
      <c r="BR703" s="17"/>
      <c r="BS703" s="17"/>
      <c r="BT703" s="17"/>
      <c r="BU703" s="17"/>
      <c r="BV703" s="17"/>
      <c r="BW703" s="17"/>
      <c r="BX703" s="17"/>
      <c r="BY703" s="17"/>
      <c r="BZ703" s="17"/>
      <c r="CA703" s="17"/>
      <c r="CB703" s="17"/>
      <c r="CC703" s="17"/>
      <c r="CD703" s="17"/>
      <c r="CE703" s="17"/>
      <c r="CF703" s="17"/>
      <c r="CG703" s="17"/>
      <c r="CH703" s="17"/>
      <c r="CI703" s="17"/>
      <c r="CJ703" s="17"/>
      <c r="CK703" s="17"/>
      <c r="CL703" s="17"/>
      <c r="CM703" s="17"/>
      <c r="CN703" s="17"/>
      <c r="CO703" s="17"/>
      <c r="CP703" s="17"/>
      <c r="CQ703" s="17"/>
      <c r="CR703" s="17"/>
      <c r="CS703" s="17"/>
      <c r="CT703" s="17"/>
      <c r="CU703" s="17"/>
      <c r="CV703" s="17"/>
      <c r="CW703" s="17"/>
      <c r="CX703" s="17"/>
      <c r="CY703" s="17"/>
      <c r="CZ703" s="17"/>
      <c r="DA703" s="17"/>
      <c r="DB703" s="17"/>
      <c r="DC703" s="17"/>
      <c r="DD703" s="17"/>
      <c r="DE703" s="17"/>
      <c r="DF703" s="17"/>
      <c r="DG703" s="17"/>
      <c r="DH703" s="17"/>
      <c r="DI703" s="17"/>
      <c r="DJ703" s="17"/>
      <c r="DK703" s="17"/>
      <c r="DL703" s="17"/>
      <c r="DM703" s="17"/>
      <c r="DN703" s="17"/>
      <c r="DO703" s="17"/>
      <c r="DP703" s="17"/>
      <c r="DQ703" s="17"/>
      <c r="DR703" s="17"/>
      <c r="DS703" s="17"/>
      <c r="DT703" s="17"/>
      <c r="DU703" s="17"/>
      <c r="DV703" s="17"/>
      <c r="DW703" s="17"/>
    </row>
    <row r="704" spans="1:127" ht="18" customHeight="1">
      <c r="A704" s="16"/>
      <c r="B704" s="16"/>
      <c r="C704" s="16"/>
      <c r="D704" s="16"/>
      <c r="E704" s="16"/>
      <c r="F704" s="16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  <c r="BK704" s="17"/>
      <c r="BL704" s="17"/>
      <c r="BM704" s="17"/>
      <c r="BN704" s="17"/>
      <c r="BO704" s="17"/>
      <c r="BP704" s="17"/>
      <c r="BQ704" s="17"/>
      <c r="BR704" s="17"/>
      <c r="BS704" s="17"/>
      <c r="BT704" s="17"/>
      <c r="BU704" s="17"/>
      <c r="BV704" s="17"/>
      <c r="BW704" s="17"/>
      <c r="BX704" s="17"/>
      <c r="BY704" s="17"/>
      <c r="BZ704" s="17"/>
      <c r="CA704" s="17"/>
      <c r="CB704" s="17"/>
      <c r="CC704" s="17"/>
      <c r="CD704" s="17"/>
      <c r="CE704" s="17"/>
      <c r="CF704" s="17"/>
      <c r="CG704" s="17"/>
      <c r="CH704" s="17"/>
      <c r="CI704" s="17"/>
      <c r="CJ704" s="17"/>
      <c r="CK704" s="17"/>
      <c r="CL704" s="17"/>
      <c r="CM704" s="17"/>
      <c r="CN704" s="17"/>
      <c r="CO704" s="17"/>
      <c r="CP704" s="17"/>
      <c r="CQ704" s="17"/>
      <c r="CR704" s="17"/>
      <c r="CS704" s="17"/>
      <c r="CT704" s="17"/>
      <c r="CU704" s="17"/>
      <c r="CV704" s="17"/>
      <c r="CW704" s="17"/>
      <c r="CX704" s="17"/>
      <c r="CY704" s="17"/>
      <c r="CZ704" s="17"/>
      <c r="DA704" s="17"/>
      <c r="DB704" s="17"/>
      <c r="DC704" s="17"/>
      <c r="DD704" s="17"/>
      <c r="DE704" s="17"/>
      <c r="DF704" s="17"/>
      <c r="DG704" s="17"/>
      <c r="DH704" s="17"/>
      <c r="DI704" s="17"/>
      <c r="DJ704" s="17"/>
      <c r="DK704" s="17"/>
      <c r="DL704" s="17"/>
      <c r="DM704" s="17"/>
      <c r="DN704" s="17"/>
      <c r="DO704" s="17"/>
      <c r="DP704" s="17"/>
      <c r="DQ704" s="17"/>
      <c r="DR704" s="17"/>
      <c r="DS704" s="17"/>
      <c r="DT704" s="17"/>
      <c r="DU704" s="17"/>
      <c r="DV704" s="17"/>
      <c r="DW704" s="17"/>
    </row>
    <row r="705" spans="1:127" ht="18" customHeight="1">
      <c r="A705" s="16"/>
      <c r="B705" s="16"/>
      <c r="C705" s="16"/>
      <c r="D705" s="16"/>
      <c r="E705" s="16"/>
      <c r="F705" s="16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  <c r="BK705" s="17"/>
      <c r="BL705" s="17"/>
      <c r="BM705" s="17"/>
      <c r="BN705" s="17"/>
      <c r="BO705" s="17"/>
      <c r="BP705" s="17"/>
      <c r="BQ705" s="17"/>
      <c r="BR705" s="17"/>
      <c r="BS705" s="17"/>
      <c r="BT705" s="17"/>
      <c r="BU705" s="17"/>
      <c r="BV705" s="17"/>
      <c r="BW705" s="17"/>
      <c r="BX705" s="17"/>
      <c r="BY705" s="17"/>
      <c r="BZ705" s="17"/>
      <c r="CA705" s="17"/>
      <c r="CB705" s="17"/>
      <c r="CC705" s="17"/>
      <c r="CD705" s="17"/>
      <c r="CE705" s="17"/>
      <c r="CF705" s="17"/>
      <c r="CG705" s="17"/>
      <c r="CH705" s="17"/>
      <c r="CI705" s="17"/>
      <c r="CJ705" s="17"/>
      <c r="CK705" s="17"/>
      <c r="CL705" s="17"/>
      <c r="CM705" s="17"/>
      <c r="CN705" s="17"/>
      <c r="CO705" s="17"/>
      <c r="CP705" s="17"/>
      <c r="CQ705" s="17"/>
      <c r="CR705" s="17"/>
      <c r="CS705" s="17"/>
      <c r="CT705" s="17"/>
      <c r="CU705" s="17"/>
      <c r="CV705" s="17"/>
      <c r="CW705" s="17"/>
      <c r="CX705" s="17"/>
      <c r="CY705" s="17"/>
      <c r="CZ705" s="17"/>
      <c r="DA705" s="17"/>
      <c r="DB705" s="17"/>
      <c r="DC705" s="17"/>
      <c r="DD705" s="17"/>
      <c r="DE705" s="17"/>
      <c r="DF705" s="17"/>
      <c r="DG705" s="17"/>
      <c r="DH705" s="17"/>
      <c r="DI705" s="17"/>
      <c r="DJ705" s="17"/>
      <c r="DK705" s="17"/>
      <c r="DL705" s="17"/>
      <c r="DM705" s="17"/>
      <c r="DN705" s="17"/>
      <c r="DO705" s="17"/>
      <c r="DP705" s="17"/>
      <c r="DQ705" s="17"/>
      <c r="DR705" s="17"/>
      <c r="DS705" s="17"/>
      <c r="DT705" s="17"/>
      <c r="DU705" s="17"/>
      <c r="DV705" s="17"/>
      <c r="DW705" s="17"/>
    </row>
    <row r="706" spans="1:127" ht="18" customHeight="1">
      <c r="A706" s="16"/>
      <c r="B706" s="16"/>
      <c r="C706" s="16"/>
      <c r="D706" s="16"/>
      <c r="E706" s="16"/>
      <c r="F706" s="16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  <c r="BK706" s="17"/>
      <c r="BL706" s="17"/>
      <c r="BM706" s="17"/>
      <c r="BN706" s="17"/>
      <c r="BO706" s="17"/>
      <c r="BP706" s="17"/>
      <c r="BQ706" s="17"/>
      <c r="BR706" s="17"/>
      <c r="BS706" s="17"/>
      <c r="BT706" s="17"/>
      <c r="BU706" s="17"/>
      <c r="BV706" s="17"/>
      <c r="BW706" s="17"/>
      <c r="BX706" s="17"/>
      <c r="BY706" s="17"/>
      <c r="BZ706" s="17"/>
      <c r="CA706" s="17"/>
      <c r="CB706" s="17"/>
      <c r="CC706" s="17"/>
      <c r="CD706" s="17"/>
      <c r="CE706" s="17"/>
      <c r="CF706" s="17"/>
      <c r="CG706" s="17"/>
      <c r="CH706" s="17"/>
      <c r="CI706" s="17"/>
      <c r="CJ706" s="17"/>
      <c r="CK706" s="17"/>
      <c r="CL706" s="17"/>
      <c r="CM706" s="17"/>
      <c r="CN706" s="17"/>
      <c r="CO706" s="17"/>
      <c r="CP706" s="17"/>
      <c r="CQ706" s="17"/>
      <c r="CR706" s="17"/>
      <c r="CS706" s="17"/>
      <c r="CT706" s="17"/>
      <c r="CU706" s="17"/>
      <c r="CV706" s="17"/>
      <c r="CW706" s="17"/>
      <c r="CX706" s="17"/>
      <c r="CY706" s="17"/>
      <c r="CZ706" s="17"/>
      <c r="DA706" s="17"/>
      <c r="DB706" s="17"/>
      <c r="DC706" s="17"/>
      <c r="DD706" s="17"/>
      <c r="DE706" s="17"/>
      <c r="DF706" s="17"/>
      <c r="DG706" s="17"/>
      <c r="DH706" s="17"/>
      <c r="DI706" s="17"/>
      <c r="DJ706" s="17"/>
      <c r="DK706" s="17"/>
      <c r="DL706" s="17"/>
      <c r="DM706" s="17"/>
      <c r="DN706" s="17"/>
      <c r="DO706" s="17"/>
      <c r="DP706" s="17"/>
      <c r="DQ706" s="17"/>
      <c r="DR706" s="17"/>
      <c r="DS706" s="17"/>
      <c r="DT706" s="17"/>
      <c r="DU706" s="17"/>
      <c r="DV706" s="17"/>
      <c r="DW706" s="17"/>
    </row>
    <row r="707" spans="1:127" ht="18" customHeight="1">
      <c r="A707" s="16"/>
      <c r="B707" s="16"/>
      <c r="C707" s="16"/>
      <c r="D707" s="16"/>
      <c r="E707" s="16"/>
      <c r="F707" s="16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  <c r="BK707" s="17"/>
      <c r="BL707" s="17"/>
      <c r="BM707" s="17"/>
      <c r="BN707" s="17"/>
      <c r="BO707" s="17"/>
      <c r="BP707" s="17"/>
      <c r="BQ707" s="17"/>
      <c r="BR707" s="17"/>
      <c r="BS707" s="17"/>
      <c r="BT707" s="17"/>
      <c r="BU707" s="17"/>
      <c r="BV707" s="17"/>
      <c r="BW707" s="17"/>
      <c r="BX707" s="17"/>
      <c r="BY707" s="17"/>
      <c r="BZ707" s="17"/>
      <c r="CA707" s="17"/>
      <c r="CB707" s="17"/>
      <c r="CC707" s="17"/>
      <c r="CD707" s="17"/>
      <c r="CE707" s="17"/>
      <c r="CF707" s="17"/>
      <c r="CG707" s="17"/>
      <c r="CH707" s="17"/>
      <c r="CI707" s="17"/>
      <c r="CJ707" s="17"/>
      <c r="CK707" s="17"/>
      <c r="CL707" s="17"/>
      <c r="CM707" s="17"/>
      <c r="CN707" s="17"/>
      <c r="CO707" s="17"/>
      <c r="CP707" s="17"/>
      <c r="CQ707" s="17"/>
      <c r="CR707" s="17"/>
      <c r="CS707" s="17"/>
      <c r="CT707" s="17"/>
      <c r="CU707" s="17"/>
      <c r="CV707" s="17"/>
      <c r="CW707" s="17"/>
      <c r="CX707" s="17"/>
      <c r="CY707" s="17"/>
      <c r="CZ707" s="17"/>
      <c r="DA707" s="17"/>
      <c r="DB707" s="17"/>
      <c r="DC707" s="17"/>
      <c r="DD707" s="17"/>
      <c r="DE707" s="17"/>
      <c r="DF707" s="17"/>
      <c r="DG707" s="17"/>
      <c r="DH707" s="17"/>
      <c r="DI707" s="17"/>
      <c r="DJ707" s="17"/>
      <c r="DK707" s="17"/>
      <c r="DL707" s="17"/>
      <c r="DM707" s="17"/>
      <c r="DN707" s="17"/>
      <c r="DO707" s="17"/>
      <c r="DP707" s="17"/>
      <c r="DQ707" s="17"/>
      <c r="DR707" s="17"/>
      <c r="DS707" s="17"/>
      <c r="DT707" s="17"/>
      <c r="DU707" s="17"/>
      <c r="DV707" s="17"/>
      <c r="DW707" s="17"/>
    </row>
    <row r="708" spans="1:127" ht="18" customHeight="1">
      <c r="A708" s="16"/>
      <c r="B708" s="16"/>
      <c r="C708" s="16"/>
      <c r="D708" s="16"/>
      <c r="E708" s="16"/>
      <c r="F708" s="16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  <c r="BK708" s="17"/>
      <c r="BL708" s="17"/>
      <c r="BM708" s="17"/>
      <c r="BN708" s="17"/>
      <c r="BO708" s="17"/>
      <c r="BP708" s="17"/>
      <c r="BQ708" s="17"/>
      <c r="BR708" s="17"/>
      <c r="BS708" s="17"/>
      <c r="BT708" s="17"/>
      <c r="BU708" s="17"/>
      <c r="BV708" s="17"/>
      <c r="BW708" s="17"/>
      <c r="BX708" s="17"/>
      <c r="BY708" s="17"/>
      <c r="BZ708" s="17"/>
      <c r="CA708" s="17"/>
      <c r="CB708" s="17"/>
      <c r="CC708" s="17"/>
      <c r="CD708" s="17"/>
      <c r="CE708" s="17"/>
      <c r="CF708" s="17"/>
      <c r="CG708" s="17"/>
      <c r="CH708" s="17"/>
      <c r="CI708" s="17"/>
      <c r="CJ708" s="17"/>
      <c r="CK708" s="17"/>
      <c r="CL708" s="17"/>
      <c r="CM708" s="17"/>
      <c r="CN708" s="17"/>
      <c r="CO708" s="17"/>
      <c r="CP708" s="17"/>
      <c r="CQ708" s="17"/>
      <c r="CR708" s="17"/>
      <c r="CS708" s="17"/>
      <c r="CT708" s="17"/>
      <c r="CU708" s="17"/>
      <c r="CV708" s="17"/>
      <c r="CW708" s="17"/>
      <c r="CX708" s="17"/>
      <c r="CY708" s="17"/>
      <c r="CZ708" s="17"/>
      <c r="DA708" s="17"/>
      <c r="DB708" s="17"/>
      <c r="DC708" s="17"/>
      <c r="DD708" s="17"/>
      <c r="DE708" s="17"/>
      <c r="DF708" s="17"/>
      <c r="DG708" s="17"/>
      <c r="DH708" s="17"/>
      <c r="DI708" s="17"/>
      <c r="DJ708" s="17"/>
      <c r="DK708" s="17"/>
      <c r="DL708" s="17"/>
      <c r="DM708" s="17"/>
      <c r="DN708" s="17"/>
      <c r="DO708" s="17"/>
      <c r="DP708" s="17"/>
      <c r="DQ708" s="17"/>
      <c r="DR708" s="17"/>
      <c r="DS708" s="17"/>
      <c r="DT708" s="17"/>
      <c r="DU708" s="17"/>
      <c r="DV708" s="17"/>
      <c r="DW708" s="17"/>
    </row>
    <row r="709" spans="1:127" ht="18" customHeight="1">
      <c r="A709" s="16"/>
      <c r="B709" s="16"/>
      <c r="C709" s="16"/>
      <c r="D709" s="16"/>
      <c r="E709" s="16"/>
      <c r="F709" s="16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  <c r="BK709" s="17"/>
      <c r="BL709" s="17"/>
      <c r="BM709" s="17"/>
      <c r="BN709" s="17"/>
      <c r="BO709" s="17"/>
      <c r="BP709" s="17"/>
      <c r="BQ709" s="17"/>
      <c r="BR709" s="17"/>
      <c r="BS709" s="17"/>
      <c r="BT709" s="17"/>
      <c r="BU709" s="17"/>
      <c r="BV709" s="17"/>
      <c r="BW709" s="17"/>
      <c r="BX709" s="17"/>
      <c r="BY709" s="17"/>
      <c r="BZ709" s="17"/>
      <c r="CA709" s="17"/>
      <c r="CB709" s="17"/>
      <c r="CC709" s="17"/>
      <c r="CD709" s="17"/>
      <c r="CE709" s="17"/>
      <c r="CF709" s="17"/>
      <c r="CG709" s="17"/>
      <c r="CH709" s="17"/>
      <c r="CI709" s="17"/>
      <c r="CJ709" s="17"/>
      <c r="CK709" s="17"/>
      <c r="CL709" s="17"/>
      <c r="CM709" s="17"/>
      <c r="CN709" s="17"/>
      <c r="CO709" s="17"/>
      <c r="CP709" s="17"/>
      <c r="CQ709" s="17"/>
      <c r="CR709" s="17"/>
      <c r="CS709" s="17"/>
      <c r="CT709" s="17"/>
      <c r="CU709" s="17"/>
      <c r="CV709" s="17"/>
      <c r="CW709" s="17"/>
      <c r="CX709" s="17"/>
      <c r="CY709" s="17"/>
      <c r="CZ709" s="17"/>
      <c r="DA709" s="17"/>
      <c r="DB709" s="17"/>
      <c r="DC709" s="17"/>
      <c r="DD709" s="17"/>
      <c r="DE709" s="17"/>
      <c r="DF709" s="17"/>
      <c r="DG709" s="17"/>
      <c r="DH709" s="17"/>
      <c r="DI709" s="17"/>
      <c r="DJ709" s="17"/>
      <c r="DK709" s="17"/>
      <c r="DL709" s="17"/>
      <c r="DM709" s="17"/>
      <c r="DN709" s="17"/>
      <c r="DO709" s="17"/>
      <c r="DP709" s="17"/>
      <c r="DQ709" s="17"/>
      <c r="DR709" s="17"/>
      <c r="DS709" s="17"/>
      <c r="DT709" s="17"/>
      <c r="DU709" s="17"/>
      <c r="DV709" s="17"/>
      <c r="DW709" s="17"/>
    </row>
    <row r="710" spans="1:127" ht="18" customHeight="1">
      <c r="A710" s="16"/>
      <c r="B710" s="16"/>
      <c r="C710" s="16"/>
      <c r="D710" s="16"/>
      <c r="E710" s="16"/>
      <c r="F710" s="16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  <c r="BK710" s="17"/>
      <c r="BL710" s="17"/>
      <c r="BM710" s="17"/>
      <c r="BN710" s="17"/>
      <c r="BO710" s="17"/>
      <c r="BP710" s="17"/>
      <c r="BQ710" s="17"/>
      <c r="BR710" s="17"/>
      <c r="BS710" s="17"/>
      <c r="BT710" s="17"/>
      <c r="BU710" s="17"/>
      <c r="BV710" s="17"/>
      <c r="BW710" s="17"/>
      <c r="BX710" s="17"/>
      <c r="BY710" s="17"/>
      <c r="BZ710" s="17"/>
      <c r="CA710" s="17"/>
      <c r="CB710" s="17"/>
      <c r="CC710" s="17"/>
      <c r="CD710" s="17"/>
      <c r="CE710" s="17"/>
      <c r="CF710" s="17"/>
      <c r="CG710" s="17"/>
      <c r="CH710" s="17"/>
      <c r="CI710" s="17"/>
      <c r="CJ710" s="17"/>
      <c r="CK710" s="17"/>
      <c r="CL710" s="17"/>
      <c r="CM710" s="17"/>
      <c r="CN710" s="17"/>
      <c r="CO710" s="17"/>
      <c r="CP710" s="17"/>
      <c r="CQ710" s="17"/>
      <c r="CR710" s="17"/>
      <c r="CS710" s="17"/>
      <c r="CT710" s="17"/>
      <c r="CU710" s="17"/>
      <c r="CV710" s="17"/>
      <c r="CW710" s="17"/>
      <c r="CX710" s="17"/>
      <c r="CY710" s="17"/>
      <c r="CZ710" s="17"/>
      <c r="DA710" s="17"/>
      <c r="DB710" s="17"/>
      <c r="DC710" s="17"/>
      <c r="DD710" s="17"/>
      <c r="DE710" s="17"/>
      <c r="DF710" s="17"/>
      <c r="DG710" s="17"/>
      <c r="DH710" s="17"/>
      <c r="DI710" s="17"/>
      <c r="DJ710" s="17"/>
      <c r="DK710" s="17"/>
      <c r="DL710" s="17"/>
      <c r="DM710" s="17"/>
      <c r="DN710" s="17"/>
      <c r="DO710" s="17"/>
      <c r="DP710" s="17"/>
      <c r="DQ710" s="17"/>
      <c r="DR710" s="17"/>
      <c r="DS710" s="17"/>
      <c r="DT710" s="17"/>
      <c r="DU710" s="17"/>
      <c r="DV710" s="17"/>
      <c r="DW710" s="17"/>
    </row>
    <row r="711" spans="1:127" ht="18" customHeight="1">
      <c r="A711" s="16"/>
      <c r="B711" s="16"/>
      <c r="C711" s="16"/>
      <c r="D711" s="16"/>
      <c r="E711" s="16"/>
      <c r="F711" s="16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  <c r="BK711" s="17"/>
      <c r="BL711" s="17"/>
      <c r="BM711" s="17"/>
      <c r="BN711" s="17"/>
      <c r="BO711" s="17"/>
      <c r="BP711" s="17"/>
      <c r="BQ711" s="17"/>
      <c r="BR711" s="17"/>
      <c r="BS711" s="17"/>
      <c r="BT711" s="17"/>
      <c r="BU711" s="17"/>
      <c r="BV711" s="17"/>
      <c r="BW711" s="17"/>
      <c r="BX711" s="17"/>
      <c r="BY711" s="17"/>
      <c r="BZ711" s="17"/>
      <c r="CA711" s="17"/>
      <c r="CB711" s="17"/>
      <c r="CC711" s="17"/>
      <c r="CD711" s="17"/>
      <c r="CE711" s="17"/>
      <c r="CF711" s="17"/>
      <c r="CG711" s="17"/>
      <c r="CH711" s="17"/>
      <c r="CI711" s="17"/>
      <c r="CJ711" s="17"/>
      <c r="CK711" s="17"/>
      <c r="CL711" s="17"/>
      <c r="CM711" s="17"/>
      <c r="CN711" s="17"/>
      <c r="CO711" s="17"/>
      <c r="CP711" s="17"/>
      <c r="CQ711" s="17"/>
      <c r="CR711" s="17"/>
      <c r="CS711" s="17"/>
      <c r="CT711" s="17"/>
      <c r="CU711" s="17"/>
      <c r="CV711" s="17"/>
      <c r="CW711" s="17"/>
      <c r="CX711" s="17"/>
      <c r="CY711" s="17"/>
      <c r="CZ711" s="17"/>
      <c r="DA711" s="17"/>
      <c r="DB711" s="17"/>
      <c r="DC711" s="17"/>
      <c r="DD711" s="17"/>
      <c r="DE711" s="17"/>
      <c r="DF711" s="17"/>
      <c r="DG711" s="17"/>
      <c r="DH711" s="17"/>
      <c r="DI711" s="17"/>
      <c r="DJ711" s="17"/>
      <c r="DK711" s="17"/>
      <c r="DL711" s="17"/>
      <c r="DM711" s="17"/>
      <c r="DN711" s="17"/>
      <c r="DO711" s="17"/>
      <c r="DP711" s="17"/>
      <c r="DQ711" s="17"/>
      <c r="DR711" s="17"/>
      <c r="DS711" s="17"/>
      <c r="DT711" s="17"/>
      <c r="DU711" s="17"/>
      <c r="DV711" s="17"/>
      <c r="DW711" s="17"/>
    </row>
    <row r="712" spans="1:127" ht="18" customHeight="1">
      <c r="A712" s="16"/>
      <c r="B712" s="16"/>
      <c r="C712" s="16"/>
      <c r="D712" s="16"/>
      <c r="E712" s="16"/>
      <c r="F712" s="16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  <c r="BK712" s="17"/>
      <c r="BL712" s="17"/>
      <c r="BM712" s="17"/>
      <c r="BN712" s="17"/>
      <c r="BO712" s="17"/>
      <c r="BP712" s="17"/>
      <c r="BQ712" s="17"/>
      <c r="BR712" s="17"/>
      <c r="BS712" s="17"/>
      <c r="BT712" s="17"/>
      <c r="BU712" s="17"/>
      <c r="BV712" s="17"/>
      <c r="BW712" s="17"/>
      <c r="BX712" s="17"/>
      <c r="BY712" s="17"/>
      <c r="BZ712" s="17"/>
      <c r="CA712" s="17"/>
      <c r="CB712" s="17"/>
      <c r="CC712" s="17"/>
      <c r="CD712" s="17"/>
      <c r="CE712" s="17"/>
      <c r="CF712" s="17"/>
      <c r="CG712" s="17"/>
      <c r="CH712" s="17"/>
      <c r="CI712" s="17"/>
      <c r="CJ712" s="17"/>
      <c r="CK712" s="17"/>
      <c r="CL712" s="17"/>
      <c r="CM712" s="17"/>
      <c r="CN712" s="17"/>
      <c r="CO712" s="17"/>
      <c r="CP712" s="17"/>
      <c r="CQ712" s="17"/>
      <c r="CR712" s="17"/>
      <c r="CS712" s="17"/>
      <c r="CT712" s="17"/>
      <c r="CU712" s="17"/>
      <c r="CV712" s="17"/>
      <c r="CW712" s="17"/>
      <c r="CX712" s="17"/>
      <c r="CY712" s="17"/>
      <c r="CZ712" s="17"/>
      <c r="DA712" s="17"/>
      <c r="DB712" s="17"/>
      <c r="DC712" s="17"/>
      <c r="DD712" s="17"/>
      <c r="DE712" s="17"/>
      <c r="DF712" s="17"/>
      <c r="DG712" s="17"/>
      <c r="DH712" s="17"/>
      <c r="DI712" s="17"/>
      <c r="DJ712" s="17"/>
      <c r="DK712" s="17"/>
      <c r="DL712" s="17"/>
      <c r="DM712" s="17"/>
      <c r="DN712" s="17"/>
      <c r="DO712" s="17"/>
      <c r="DP712" s="17"/>
      <c r="DQ712" s="17"/>
      <c r="DR712" s="17"/>
      <c r="DS712" s="17"/>
      <c r="DT712" s="17"/>
      <c r="DU712" s="17"/>
      <c r="DV712" s="17"/>
      <c r="DW712" s="17"/>
    </row>
    <row r="713" spans="1:127" ht="18" customHeight="1">
      <c r="A713" s="16"/>
      <c r="B713" s="16"/>
      <c r="C713" s="16"/>
      <c r="D713" s="16"/>
      <c r="E713" s="16"/>
      <c r="F713" s="16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  <c r="BK713" s="17"/>
      <c r="BL713" s="17"/>
      <c r="BM713" s="17"/>
      <c r="BN713" s="17"/>
      <c r="BO713" s="17"/>
      <c r="BP713" s="17"/>
      <c r="BQ713" s="17"/>
      <c r="BR713" s="17"/>
      <c r="BS713" s="17"/>
      <c r="BT713" s="17"/>
      <c r="BU713" s="17"/>
      <c r="BV713" s="17"/>
      <c r="BW713" s="17"/>
      <c r="BX713" s="17"/>
      <c r="BY713" s="17"/>
      <c r="BZ713" s="17"/>
      <c r="CA713" s="17"/>
      <c r="CB713" s="17"/>
      <c r="CC713" s="17"/>
      <c r="CD713" s="17"/>
      <c r="CE713" s="17"/>
      <c r="CF713" s="17"/>
      <c r="CG713" s="17"/>
      <c r="CH713" s="17"/>
      <c r="CI713" s="17"/>
      <c r="CJ713" s="17"/>
      <c r="CK713" s="17"/>
      <c r="CL713" s="17"/>
      <c r="CM713" s="17"/>
      <c r="CN713" s="17"/>
      <c r="CO713" s="17"/>
      <c r="CP713" s="17"/>
      <c r="CQ713" s="17"/>
      <c r="CR713" s="17"/>
      <c r="CS713" s="17"/>
      <c r="CT713" s="17"/>
      <c r="CU713" s="17"/>
      <c r="CV713" s="17"/>
      <c r="CW713" s="17"/>
      <c r="CX713" s="17"/>
      <c r="CY713" s="17"/>
      <c r="CZ713" s="17"/>
      <c r="DA713" s="17"/>
      <c r="DB713" s="17"/>
      <c r="DC713" s="17"/>
      <c r="DD713" s="17"/>
      <c r="DE713" s="17"/>
      <c r="DF713" s="17"/>
      <c r="DG713" s="17"/>
      <c r="DH713" s="17"/>
      <c r="DI713" s="17"/>
      <c r="DJ713" s="17"/>
      <c r="DK713" s="17"/>
      <c r="DL713" s="17"/>
      <c r="DM713" s="17"/>
      <c r="DN713" s="17"/>
      <c r="DO713" s="17"/>
      <c r="DP713" s="17"/>
      <c r="DQ713" s="17"/>
      <c r="DR713" s="17"/>
      <c r="DS713" s="17"/>
      <c r="DT713" s="17"/>
      <c r="DU713" s="17"/>
      <c r="DV713" s="17"/>
      <c r="DW713" s="17"/>
    </row>
    <row r="714" spans="1:127" ht="18" customHeight="1">
      <c r="A714" s="16"/>
      <c r="B714" s="16"/>
      <c r="C714" s="16"/>
      <c r="D714" s="16"/>
      <c r="E714" s="16"/>
      <c r="F714" s="16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  <c r="BK714" s="17"/>
      <c r="BL714" s="17"/>
      <c r="BM714" s="17"/>
      <c r="BN714" s="17"/>
      <c r="BO714" s="17"/>
      <c r="BP714" s="17"/>
      <c r="BQ714" s="17"/>
      <c r="BR714" s="17"/>
      <c r="BS714" s="17"/>
      <c r="BT714" s="17"/>
      <c r="BU714" s="17"/>
      <c r="BV714" s="17"/>
      <c r="BW714" s="17"/>
      <c r="BX714" s="17"/>
      <c r="BY714" s="17"/>
      <c r="BZ714" s="17"/>
      <c r="CA714" s="17"/>
      <c r="CB714" s="17"/>
      <c r="CC714" s="17"/>
      <c r="CD714" s="17"/>
      <c r="CE714" s="17"/>
      <c r="CF714" s="17"/>
      <c r="CG714" s="17"/>
      <c r="CH714" s="17"/>
      <c r="CI714" s="17"/>
      <c r="CJ714" s="17"/>
      <c r="CK714" s="17"/>
      <c r="CL714" s="17"/>
      <c r="CM714" s="17"/>
      <c r="CN714" s="17"/>
      <c r="CO714" s="17"/>
      <c r="CP714" s="17"/>
      <c r="CQ714" s="17"/>
      <c r="CR714" s="17"/>
      <c r="CS714" s="17"/>
      <c r="CT714" s="17"/>
      <c r="CU714" s="17"/>
      <c r="CV714" s="17"/>
      <c r="CW714" s="17"/>
      <c r="CX714" s="17"/>
      <c r="CY714" s="17"/>
      <c r="CZ714" s="17"/>
      <c r="DA714" s="17"/>
      <c r="DB714" s="17"/>
      <c r="DC714" s="17"/>
      <c r="DD714" s="17"/>
      <c r="DE714" s="17"/>
      <c r="DF714" s="17"/>
      <c r="DG714" s="17"/>
      <c r="DH714" s="17"/>
      <c r="DI714" s="17"/>
      <c r="DJ714" s="17"/>
      <c r="DK714" s="17"/>
      <c r="DL714" s="17"/>
      <c r="DM714" s="17"/>
      <c r="DN714" s="17"/>
      <c r="DO714" s="17"/>
      <c r="DP714" s="17"/>
      <c r="DQ714" s="17"/>
      <c r="DR714" s="17"/>
      <c r="DS714" s="17"/>
      <c r="DT714" s="17"/>
      <c r="DU714" s="17"/>
      <c r="DV714" s="17"/>
      <c r="DW714" s="17"/>
    </row>
    <row r="715" spans="1:127" ht="18" customHeight="1">
      <c r="A715" s="16"/>
      <c r="B715" s="16"/>
      <c r="C715" s="16"/>
      <c r="D715" s="16"/>
      <c r="E715" s="16"/>
      <c r="F715" s="16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  <c r="BK715" s="17"/>
      <c r="BL715" s="17"/>
      <c r="BM715" s="17"/>
      <c r="BN715" s="17"/>
      <c r="BO715" s="17"/>
      <c r="BP715" s="17"/>
      <c r="BQ715" s="17"/>
      <c r="BR715" s="17"/>
      <c r="BS715" s="17"/>
      <c r="BT715" s="17"/>
      <c r="BU715" s="17"/>
      <c r="BV715" s="17"/>
      <c r="BW715" s="17"/>
      <c r="BX715" s="17"/>
      <c r="BY715" s="17"/>
      <c r="BZ715" s="17"/>
      <c r="CA715" s="17"/>
      <c r="CB715" s="17"/>
      <c r="CC715" s="17"/>
      <c r="CD715" s="17"/>
      <c r="CE715" s="17"/>
      <c r="CF715" s="17"/>
      <c r="CG715" s="17"/>
      <c r="CH715" s="17"/>
      <c r="CI715" s="17"/>
      <c r="CJ715" s="17"/>
      <c r="CK715" s="17"/>
      <c r="CL715" s="17"/>
      <c r="CM715" s="17"/>
      <c r="CN715" s="17"/>
      <c r="CO715" s="17"/>
      <c r="CP715" s="17"/>
      <c r="CQ715" s="17"/>
      <c r="CR715" s="17"/>
      <c r="CS715" s="17"/>
      <c r="CT715" s="17"/>
      <c r="CU715" s="17"/>
      <c r="CV715" s="17"/>
      <c r="CW715" s="17"/>
      <c r="CX715" s="17"/>
      <c r="CY715" s="17"/>
      <c r="CZ715" s="17"/>
      <c r="DA715" s="17"/>
      <c r="DB715" s="17"/>
      <c r="DC715" s="17"/>
      <c r="DD715" s="17"/>
      <c r="DE715" s="17"/>
      <c r="DF715" s="17"/>
      <c r="DG715" s="17"/>
      <c r="DH715" s="17"/>
      <c r="DI715" s="17"/>
      <c r="DJ715" s="17"/>
      <c r="DK715" s="17"/>
      <c r="DL715" s="17"/>
      <c r="DM715" s="17"/>
      <c r="DN715" s="17"/>
      <c r="DO715" s="17"/>
      <c r="DP715" s="17"/>
      <c r="DQ715" s="17"/>
      <c r="DR715" s="17"/>
      <c r="DS715" s="17"/>
      <c r="DT715" s="17"/>
      <c r="DU715" s="17"/>
      <c r="DV715" s="17"/>
      <c r="DW715" s="17"/>
    </row>
    <row r="716" spans="1:127" ht="18" customHeight="1">
      <c r="A716" s="16"/>
      <c r="B716" s="16"/>
      <c r="C716" s="16"/>
      <c r="D716" s="16"/>
      <c r="E716" s="16"/>
      <c r="F716" s="16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  <c r="BK716" s="17"/>
      <c r="BL716" s="17"/>
      <c r="BM716" s="17"/>
      <c r="BN716" s="17"/>
      <c r="BO716" s="17"/>
      <c r="BP716" s="17"/>
      <c r="BQ716" s="17"/>
      <c r="BR716" s="17"/>
      <c r="BS716" s="17"/>
      <c r="BT716" s="17"/>
      <c r="BU716" s="17"/>
      <c r="BV716" s="17"/>
      <c r="BW716" s="17"/>
      <c r="BX716" s="17"/>
      <c r="BY716" s="17"/>
      <c r="BZ716" s="17"/>
      <c r="CA716" s="17"/>
      <c r="CB716" s="17"/>
      <c r="CC716" s="17"/>
      <c r="CD716" s="17"/>
      <c r="CE716" s="17"/>
      <c r="CF716" s="17"/>
      <c r="CG716" s="17"/>
      <c r="CH716" s="17"/>
      <c r="CI716" s="17"/>
      <c r="CJ716" s="17"/>
      <c r="CK716" s="17"/>
      <c r="CL716" s="17"/>
      <c r="CM716" s="17"/>
      <c r="CN716" s="17"/>
      <c r="CO716" s="17"/>
      <c r="CP716" s="17"/>
      <c r="CQ716" s="17"/>
      <c r="CR716" s="17"/>
      <c r="CS716" s="17"/>
      <c r="CT716" s="17"/>
      <c r="CU716" s="17"/>
      <c r="CV716" s="17"/>
      <c r="CW716" s="17"/>
      <c r="CX716" s="17"/>
      <c r="CY716" s="17"/>
      <c r="CZ716" s="17"/>
      <c r="DA716" s="17"/>
      <c r="DB716" s="17"/>
      <c r="DC716" s="17"/>
      <c r="DD716" s="17"/>
      <c r="DE716" s="17"/>
      <c r="DF716" s="17"/>
      <c r="DG716" s="17"/>
      <c r="DH716" s="17"/>
      <c r="DI716" s="17"/>
      <c r="DJ716" s="17"/>
      <c r="DK716" s="17"/>
      <c r="DL716" s="17"/>
      <c r="DM716" s="17"/>
      <c r="DN716" s="17"/>
      <c r="DO716" s="17"/>
      <c r="DP716" s="17"/>
      <c r="DQ716" s="17"/>
      <c r="DR716" s="17"/>
      <c r="DS716" s="17"/>
      <c r="DT716" s="17"/>
      <c r="DU716" s="17"/>
      <c r="DV716" s="17"/>
      <c r="DW716" s="17"/>
    </row>
    <row r="717" spans="1:127" ht="18" customHeight="1">
      <c r="A717" s="16"/>
      <c r="B717" s="16"/>
      <c r="C717" s="16"/>
      <c r="D717" s="16"/>
      <c r="E717" s="16"/>
      <c r="F717" s="16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  <c r="BK717" s="17"/>
      <c r="BL717" s="17"/>
      <c r="BM717" s="17"/>
      <c r="BN717" s="17"/>
      <c r="BO717" s="17"/>
      <c r="BP717" s="17"/>
      <c r="BQ717" s="17"/>
      <c r="BR717" s="17"/>
      <c r="BS717" s="17"/>
      <c r="BT717" s="17"/>
      <c r="BU717" s="17"/>
      <c r="BV717" s="17"/>
      <c r="BW717" s="17"/>
      <c r="BX717" s="17"/>
      <c r="BY717" s="17"/>
      <c r="BZ717" s="17"/>
      <c r="CA717" s="17"/>
      <c r="CB717" s="17"/>
      <c r="CC717" s="17"/>
      <c r="CD717" s="17"/>
      <c r="CE717" s="17"/>
      <c r="CF717" s="17"/>
      <c r="CG717" s="17"/>
      <c r="CH717" s="17"/>
      <c r="CI717" s="17"/>
      <c r="CJ717" s="17"/>
      <c r="CK717" s="17"/>
      <c r="CL717" s="17"/>
      <c r="CM717" s="17"/>
      <c r="CN717" s="17"/>
      <c r="CO717" s="17"/>
      <c r="CP717" s="17"/>
      <c r="CQ717" s="17"/>
      <c r="CR717" s="17"/>
      <c r="CS717" s="17"/>
      <c r="CT717" s="17"/>
      <c r="CU717" s="17"/>
      <c r="CV717" s="17"/>
      <c r="CW717" s="17"/>
      <c r="CX717" s="17"/>
      <c r="CY717" s="17"/>
      <c r="CZ717" s="17"/>
      <c r="DA717" s="17"/>
      <c r="DB717" s="17"/>
      <c r="DC717" s="17"/>
      <c r="DD717" s="17"/>
      <c r="DE717" s="17"/>
      <c r="DF717" s="17"/>
      <c r="DG717" s="17"/>
      <c r="DH717" s="17"/>
      <c r="DI717" s="17"/>
      <c r="DJ717" s="17"/>
      <c r="DK717" s="17"/>
      <c r="DL717" s="17"/>
      <c r="DM717" s="17"/>
      <c r="DN717" s="17"/>
      <c r="DO717" s="17"/>
      <c r="DP717" s="17"/>
      <c r="DQ717" s="17"/>
      <c r="DR717" s="17"/>
      <c r="DS717" s="17"/>
      <c r="DT717" s="17"/>
      <c r="DU717" s="17"/>
      <c r="DV717" s="17"/>
      <c r="DW717" s="17"/>
    </row>
    <row r="718" spans="1:127" ht="18" customHeight="1">
      <c r="A718" s="16"/>
      <c r="B718" s="16"/>
      <c r="C718" s="16"/>
      <c r="D718" s="16"/>
      <c r="E718" s="16"/>
      <c r="F718" s="16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  <c r="BK718" s="17"/>
      <c r="BL718" s="17"/>
      <c r="BM718" s="17"/>
      <c r="BN718" s="17"/>
      <c r="BO718" s="17"/>
      <c r="BP718" s="17"/>
      <c r="BQ718" s="17"/>
      <c r="BR718" s="17"/>
      <c r="BS718" s="17"/>
      <c r="BT718" s="17"/>
      <c r="BU718" s="17"/>
      <c r="BV718" s="17"/>
      <c r="BW718" s="17"/>
      <c r="BX718" s="17"/>
      <c r="BY718" s="17"/>
      <c r="BZ718" s="17"/>
      <c r="CA718" s="17"/>
      <c r="CB718" s="17"/>
      <c r="CC718" s="17"/>
      <c r="CD718" s="17"/>
      <c r="CE718" s="17"/>
      <c r="CF718" s="17"/>
      <c r="CG718" s="17"/>
      <c r="CH718" s="17"/>
      <c r="CI718" s="17"/>
      <c r="CJ718" s="17"/>
      <c r="CK718" s="17"/>
      <c r="CL718" s="17"/>
      <c r="CM718" s="17"/>
      <c r="CN718" s="17"/>
      <c r="CO718" s="17"/>
      <c r="CP718" s="17"/>
      <c r="CQ718" s="17"/>
      <c r="CR718" s="17"/>
      <c r="CS718" s="17"/>
      <c r="CT718" s="17"/>
      <c r="CU718" s="17"/>
      <c r="CV718" s="17"/>
      <c r="CW718" s="17"/>
      <c r="CX718" s="17"/>
      <c r="CY718" s="17"/>
      <c r="CZ718" s="17"/>
      <c r="DA718" s="17"/>
      <c r="DB718" s="17"/>
      <c r="DC718" s="17"/>
      <c r="DD718" s="17"/>
      <c r="DE718" s="17"/>
      <c r="DF718" s="17"/>
      <c r="DG718" s="17"/>
      <c r="DH718" s="17"/>
      <c r="DI718" s="17"/>
      <c r="DJ718" s="17"/>
      <c r="DK718" s="17"/>
      <c r="DL718" s="17"/>
      <c r="DM718" s="17"/>
      <c r="DN718" s="17"/>
      <c r="DO718" s="17"/>
      <c r="DP718" s="17"/>
      <c r="DQ718" s="17"/>
      <c r="DR718" s="17"/>
      <c r="DS718" s="17"/>
      <c r="DT718" s="17"/>
      <c r="DU718" s="17"/>
      <c r="DV718" s="17"/>
      <c r="DW718" s="17"/>
    </row>
    <row r="719" spans="1:127" ht="18" customHeight="1">
      <c r="A719" s="16"/>
      <c r="B719" s="16"/>
      <c r="C719" s="16"/>
      <c r="D719" s="16"/>
      <c r="E719" s="16"/>
      <c r="F719" s="16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  <c r="BK719" s="17"/>
      <c r="BL719" s="17"/>
      <c r="BM719" s="17"/>
      <c r="BN719" s="17"/>
      <c r="BO719" s="17"/>
      <c r="BP719" s="17"/>
      <c r="BQ719" s="17"/>
      <c r="BR719" s="17"/>
      <c r="BS719" s="17"/>
      <c r="BT719" s="17"/>
      <c r="BU719" s="17"/>
      <c r="BV719" s="17"/>
      <c r="BW719" s="17"/>
      <c r="BX719" s="17"/>
      <c r="BY719" s="17"/>
      <c r="BZ719" s="17"/>
      <c r="CA719" s="17"/>
      <c r="CB719" s="17"/>
      <c r="CC719" s="17"/>
      <c r="CD719" s="17"/>
      <c r="CE719" s="17"/>
      <c r="CF719" s="17"/>
      <c r="CG719" s="17"/>
      <c r="CH719" s="17"/>
      <c r="CI719" s="17"/>
      <c r="CJ719" s="17"/>
      <c r="CK719" s="17"/>
      <c r="CL719" s="17"/>
      <c r="CM719" s="17"/>
      <c r="CN719" s="17"/>
      <c r="CO719" s="17"/>
      <c r="CP719" s="17"/>
      <c r="CQ719" s="17"/>
      <c r="CR719" s="17"/>
      <c r="CS719" s="17"/>
      <c r="CT719" s="17"/>
      <c r="CU719" s="17"/>
      <c r="CV719" s="17"/>
      <c r="CW719" s="17"/>
      <c r="CX719" s="17"/>
      <c r="CY719" s="17"/>
      <c r="CZ719" s="17"/>
      <c r="DA719" s="17"/>
      <c r="DB719" s="17"/>
      <c r="DC719" s="17"/>
      <c r="DD719" s="17"/>
      <c r="DE719" s="17"/>
      <c r="DF719" s="17"/>
      <c r="DG719" s="17"/>
      <c r="DH719" s="17"/>
      <c r="DI719" s="17"/>
      <c r="DJ719" s="17"/>
      <c r="DK719" s="17"/>
      <c r="DL719" s="17"/>
      <c r="DM719" s="17"/>
      <c r="DN719" s="17"/>
      <c r="DO719" s="17"/>
      <c r="DP719" s="17"/>
      <c r="DQ719" s="17"/>
      <c r="DR719" s="17"/>
      <c r="DS719" s="17"/>
      <c r="DT719" s="17"/>
      <c r="DU719" s="17"/>
      <c r="DV719" s="17"/>
      <c r="DW719" s="17"/>
    </row>
    <row r="720" spans="1:127" ht="18" customHeight="1">
      <c r="A720" s="16"/>
      <c r="B720" s="16"/>
      <c r="C720" s="16"/>
      <c r="D720" s="16"/>
      <c r="E720" s="16"/>
      <c r="F720" s="16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  <c r="BK720" s="17"/>
      <c r="BL720" s="17"/>
      <c r="BM720" s="17"/>
      <c r="BN720" s="17"/>
      <c r="BO720" s="17"/>
      <c r="BP720" s="17"/>
      <c r="BQ720" s="17"/>
      <c r="BR720" s="17"/>
      <c r="BS720" s="17"/>
      <c r="BT720" s="17"/>
      <c r="BU720" s="17"/>
      <c r="BV720" s="17"/>
      <c r="BW720" s="17"/>
      <c r="BX720" s="17"/>
      <c r="BY720" s="17"/>
      <c r="BZ720" s="17"/>
      <c r="CA720" s="17"/>
      <c r="CB720" s="17"/>
      <c r="CC720" s="17"/>
      <c r="CD720" s="17"/>
      <c r="CE720" s="17"/>
      <c r="CF720" s="17"/>
      <c r="CG720" s="17"/>
      <c r="CH720" s="17"/>
      <c r="CI720" s="17"/>
      <c r="CJ720" s="17"/>
      <c r="CK720" s="17"/>
      <c r="CL720" s="17"/>
      <c r="CM720" s="17"/>
      <c r="CN720" s="17"/>
      <c r="CO720" s="17"/>
      <c r="CP720" s="17"/>
      <c r="CQ720" s="17"/>
      <c r="CR720" s="17"/>
      <c r="CS720" s="17"/>
      <c r="CT720" s="17"/>
      <c r="CU720" s="17"/>
      <c r="CV720" s="17"/>
      <c r="CW720" s="17"/>
      <c r="CX720" s="17"/>
      <c r="CY720" s="17"/>
      <c r="CZ720" s="17"/>
      <c r="DA720" s="17"/>
      <c r="DB720" s="17"/>
      <c r="DC720" s="17"/>
      <c r="DD720" s="17"/>
      <c r="DE720" s="17"/>
      <c r="DF720" s="17"/>
      <c r="DG720" s="17"/>
      <c r="DH720" s="17"/>
      <c r="DI720" s="17"/>
      <c r="DJ720" s="17"/>
      <c r="DK720" s="17"/>
      <c r="DL720" s="17"/>
      <c r="DM720" s="17"/>
      <c r="DN720" s="17"/>
      <c r="DO720" s="17"/>
      <c r="DP720" s="17"/>
      <c r="DQ720" s="17"/>
      <c r="DR720" s="17"/>
      <c r="DS720" s="17"/>
      <c r="DT720" s="17"/>
      <c r="DU720" s="17"/>
      <c r="DV720" s="17"/>
      <c r="DW720" s="17"/>
    </row>
    <row r="721" spans="1:127" ht="18" customHeight="1">
      <c r="A721" s="16"/>
      <c r="B721" s="16"/>
      <c r="C721" s="16"/>
      <c r="D721" s="16"/>
      <c r="E721" s="16"/>
      <c r="F721" s="16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  <c r="BK721" s="17"/>
      <c r="BL721" s="17"/>
      <c r="BM721" s="17"/>
      <c r="BN721" s="17"/>
      <c r="BO721" s="17"/>
      <c r="BP721" s="17"/>
      <c r="BQ721" s="17"/>
      <c r="BR721" s="17"/>
      <c r="BS721" s="17"/>
      <c r="BT721" s="17"/>
      <c r="BU721" s="17"/>
      <c r="BV721" s="17"/>
      <c r="BW721" s="17"/>
      <c r="BX721" s="17"/>
      <c r="BY721" s="17"/>
      <c r="BZ721" s="17"/>
      <c r="CA721" s="17"/>
      <c r="CB721" s="17"/>
      <c r="CC721" s="17"/>
      <c r="CD721" s="17"/>
      <c r="CE721" s="17"/>
      <c r="CF721" s="17"/>
      <c r="CG721" s="17"/>
      <c r="CH721" s="17"/>
      <c r="CI721" s="17"/>
      <c r="CJ721" s="17"/>
      <c r="CK721" s="17"/>
      <c r="CL721" s="17"/>
      <c r="CM721" s="17"/>
      <c r="CN721" s="17"/>
      <c r="CO721" s="17"/>
      <c r="CP721" s="17"/>
      <c r="CQ721" s="17"/>
      <c r="CR721" s="17"/>
      <c r="CS721" s="17"/>
      <c r="CT721" s="17"/>
      <c r="CU721" s="17"/>
      <c r="CV721" s="17"/>
      <c r="CW721" s="17"/>
      <c r="CX721" s="17"/>
      <c r="CY721" s="17"/>
      <c r="CZ721" s="17"/>
      <c r="DA721" s="17"/>
      <c r="DB721" s="17"/>
      <c r="DC721" s="17"/>
      <c r="DD721" s="17"/>
      <c r="DE721" s="17"/>
      <c r="DF721" s="17"/>
      <c r="DG721" s="17"/>
      <c r="DH721" s="17"/>
      <c r="DI721" s="17"/>
      <c r="DJ721" s="17"/>
      <c r="DK721" s="17"/>
      <c r="DL721" s="17"/>
      <c r="DM721" s="17"/>
      <c r="DN721" s="17"/>
      <c r="DO721" s="17"/>
      <c r="DP721" s="17"/>
      <c r="DQ721" s="17"/>
      <c r="DR721" s="17"/>
      <c r="DS721" s="17"/>
      <c r="DT721" s="17"/>
      <c r="DU721" s="17"/>
      <c r="DV721" s="17"/>
      <c r="DW721" s="17"/>
    </row>
    <row r="722" spans="1:127" ht="18" customHeight="1">
      <c r="A722" s="16"/>
      <c r="B722" s="16"/>
      <c r="C722" s="16"/>
      <c r="D722" s="16"/>
      <c r="E722" s="16"/>
      <c r="F722" s="16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  <c r="CR722" s="17"/>
      <c r="CS722" s="17"/>
      <c r="CT722" s="17"/>
      <c r="CU722" s="17"/>
      <c r="CV722" s="17"/>
      <c r="CW722" s="17"/>
      <c r="CX722" s="17"/>
      <c r="CY722" s="17"/>
      <c r="CZ722" s="17"/>
      <c r="DA722" s="17"/>
      <c r="DB722" s="17"/>
      <c r="DC722" s="17"/>
      <c r="DD722" s="17"/>
      <c r="DE722" s="17"/>
      <c r="DF722" s="17"/>
      <c r="DG722" s="17"/>
      <c r="DH722" s="17"/>
      <c r="DI722" s="17"/>
      <c r="DJ722" s="17"/>
      <c r="DK722" s="17"/>
      <c r="DL722" s="17"/>
      <c r="DM722" s="17"/>
      <c r="DN722" s="17"/>
      <c r="DO722" s="17"/>
      <c r="DP722" s="17"/>
      <c r="DQ722" s="17"/>
      <c r="DR722" s="17"/>
      <c r="DS722" s="17"/>
      <c r="DT722" s="17"/>
      <c r="DU722" s="17"/>
      <c r="DV722" s="17"/>
      <c r="DW722" s="17"/>
    </row>
    <row r="723" spans="1:127" ht="18" customHeight="1">
      <c r="A723" s="16"/>
      <c r="B723" s="16"/>
      <c r="C723" s="16"/>
      <c r="D723" s="16"/>
      <c r="E723" s="16"/>
      <c r="F723" s="16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  <c r="BK723" s="17"/>
      <c r="BL723" s="17"/>
      <c r="BM723" s="17"/>
      <c r="BN723" s="17"/>
      <c r="BO723" s="17"/>
      <c r="BP723" s="17"/>
      <c r="BQ723" s="17"/>
      <c r="BR723" s="17"/>
      <c r="BS723" s="17"/>
      <c r="BT723" s="17"/>
      <c r="BU723" s="17"/>
      <c r="BV723" s="17"/>
      <c r="BW723" s="17"/>
      <c r="BX723" s="17"/>
      <c r="BY723" s="17"/>
      <c r="BZ723" s="17"/>
      <c r="CA723" s="17"/>
      <c r="CB723" s="17"/>
      <c r="CC723" s="17"/>
      <c r="CD723" s="17"/>
      <c r="CE723" s="17"/>
      <c r="CF723" s="17"/>
      <c r="CG723" s="17"/>
      <c r="CH723" s="17"/>
      <c r="CI723" s="17"/>
      <c r="CJ723" s="17"/>
      <c r="CK723" s="17"/>
      <c r="CL723" s="17"/>
      <c r="CM723" s="17"/>
      <c r="CN723" s="17"/>
      <c r="CO723" s="17"/>
      <c r="CP723" s="17"/>
      <c r="CQ723" s="17"/>
      <c r="CR723" s="17"/>
      <c r="CS723" s="17"/>
      <c r="CT723" s="17"/>
      <c r="CU723" s="17"/>
      <c r="CV723" s="17"/>
      <c r="CW723" s="17"/>
      <c r="CX723" s="17"/>
      <c r="CY723" s="17"/>
      <c r="CZ723" s="17"/>
      <c r="DA723" s="17"/>
      <c r="DB723" s="17"/>
      <c r="DC723" s="17"/>
      <c r="DD723" s="17"/>
      <c r="DE723" s="17"/>
      <c r="DF723" s="17"/>
      <c r="DG723" s="17"/>
      <c r="DH723" s="17"/>
      <c r="DI723" s="17"/>
      <c r="DJ723" s="17"/>
      <c r="DK723" s="17"/>
      <c r="DL723" s="17"/>
      <c r="DM723" s="17"/>
      <c r="DN723" s="17"/>
      <c r="DO723" s="17"/>
      <c r="DP723" s="17"/>
      <c r="DQ723" s="17"/>
      <c r="DR723" s="17"/>
      <c r="DS723" s="17"/>
      <c r="DT723" s="17"/>
      <c r="DU723" s="17"/>
      <c r="DV723" s="17"/>
      <c r="DW723" s="17"/>
    </row>
    <row r="724" spans="1:127" ht="18" customHeight="1">
      <c r="A724" s="16"/>
      <c r="B724" s="16"/>
      <c r="C724" s="16"/>
      <c r="D724" s="16"/>
      <c r="E724" s="16"/>
      <c r="F724" s="16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  <c r="CR724" s="17"/>
      <c r="CS724" s="17"/>
      <c r="CT724" s="17"/>
      <c r="CU724" s="17"/>
      <c r="CV724" s="17"/>
      <c r="CW724" s="17"/>
      <c r="CX724" s="17"/>
      <c r="CY724" s="17"/>
      <c r="CZ724" s="17"/>
      <c r="DA724" s="17"/>
      <c r="DB724" s="17"/>
      <c r="DC724" s="17"/>
      <c r="DD724" s="17"/>
      <c r="DE724" s="17"/>
      <c r="DF724" s="17"/>
      <c r="DG724" s="17"/>
      <c r="DH724" s="17"/>
      <c r="DI724" s="17"/>
      <c r="DJ724" s="17"/>
      <c r="DK724" s="17"/>
      <c r="DL724" s="17"/>
      <c r="DM724" s="17"/>
      <c r="DN724" s="17"/>
      <c r="DO724" s="17"/>
      <c r="DP724" s="17"/>
      <c r="DQ724" s="17"/>
      <c r="DR724" s="17"/>
      <c r="DS724" s="17"/>
      <c r="DT724" s="17"/>
      <c r="DU724" s="17"/>
      <c r="DV724" s="17"/>
      <c r="DW724" s="17"/>
    </row>
    <row r="725" spans="1:127" ht="18" customHeight="1">
      <c r="A725" s="16"/>
      <c r="B725" s="16"/>
      <c r="C725" s="16"/>
      <c r="D725" s="16"/>
      <c r="E725" s="16"/>
      <c r="F725" s="16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  <c r="CR725" s="17"/>
      <c r="CS725" s="17"/>
      <c r="CT725" s="17"/>
      <c r="CU725" s="17"/>
      <c r="CV725" s="17"/>
      <c r="CW725" s="17"/>
      <c r="CX725" s="17"/>
      <c r="CY725" s="17"/>
      <c r="CZ725" s="17"/>
      <c r="DA725" s="17"/>
      <c r="DB725" s="17"/>
      <c r="DC725" s="17"/>
      <c r="DD725" s="17"/>
      <c r="DE725" s="17"/>
      <c r="DF725" s="17"/>
      <c r="DG725" s="17"/>
      <c r="DH725" s="17"/>
      <c r="DI725" s="17"/>
      <c r="DJ725" s="17"/>
      <c r="DK725" s="17"/>
      <c r="DL725" s="17"/>
      <c r="DM725" s="17"/>
      <c r="DN725" s="17"/>
      <c r="DO725" s="17"/>
      <c r="DP725" s="17"/>
      <c r="DQ725" s="17"/>
      <c r="DR725" s="17"/>
      <c r="DS725" s="17"/>
      <c r="DT725" s="17"/>
      <c r="DU725" s="17"/>
      <c r="DV725" s="17"/>
      <c r="DW725" s="17"/>
    </row>
    <row r="726" spans="1:127" ht="18" customHeight="1">
      <c r="A726" s="16"/>
      <c r="B726" s="16"/>
      <c r="C726" s="16"/>
      <c r="D726" s="16"/>
      <c r="E726" s="16"/>
      <c r="F726" s="16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  <c r="BK726" s="17"/>
      <c r="BL726" s="17"/>
      <c r="BM726" s="17"/>
      <c r="BN726" s="17"/>
      <c r="BO726" s="17"/>
      <c r="BP726" s="17"/>
      <c r="BQ726" s="17"/>
      <c r="BR726" s="17"/>
      <c r="BS726" s="17"/>
      <c r="BT726" s="17"/>
      <c r="BU726" s="17"/>
      <c r="BV726" s="17"/>
      <c r="BW726" s="17"/>
      <c r="BX726" s="17"/>
      <c r="BY726" s="17"/>
      <c r="BZ726" s="17"/>
      <c r="CA726" s="17"/>
      <c r="CB726" s="17"/>
      <c r="CC726" s="17"/>
      <c r="CD726" s="17"/>
      <c r="CE726" s="17"/>
      <c r="CF726" s="17"/>
      <c r="CG726" s="17"/>
      <c r="CH726" s="17"/>
      <c r="CI726" s="17"/>
      <c r="CJ726" s="17"/>
      <c r="CK726" s="17"/>
      <c r="CL726" s="17"/>
      <c r="CM726" s="17"/>
      <c r="CN726" s="17"/>
      <c r="CO726" s="17"/>
      <c r="CP726" s="17"/>
      <c r="CQ726" s="17"/>
      <c r="CR726" s="17"/>
      <c r="CS726" s="17"/>
      <c r="CT726" s="17"/>
      <c r="CU726" s="17"/>
      <c r="CV726" s="17"/>
      <c r="CW726" s="17"/>
      <c r="CX726" s="17"/>
      <c r="CY726" s="17"/>
      <c r="CZ726" s="17"/>
      <c r="DA726" s="17"/>
      <c r="DB726" s="17"/>
      <c r="DC726" s="17"/>
      <c r="DD726" s="17"/>
      <c r="DE726" s="17"/>
      <c r="DF726" s="17"/>
      <c r="DG726" s="17"/>
      <c r="DH726" s="17"/>
      <c r="DI726" s="17"/>
      <c r="DJ726" s="17"/>
      <c r="DK726" s="17"/>
      <c r="DL726" s="17"/>
      <c r="DM726" s="17"/>
      <c r="DN726" s="17"/>
      <c r="DO726" s="17"/>
      <c r="DP726" s="17"/>
      <c r="DQ726" s="17"/>
      <c r="DR726" s="17"/>
      <c r="DS726" s="17"/>
      <c r="DT726" s="17"/>
      <c r="DU726" s="17"/>
      <c r="DV726" s="17"/>
      <c r="DW726" s="17"/>
    </row>
    <row r="727" spans="1:127" ht="18" customHeight="1">
      <c r="A727" s="16"/>
      <c r="B727" s="16"/>
      <c r="C727" s="16"/>
      <c r="D727" s="16"/>
      <c r="E727" s="16"/>
      <c r="F727" s="16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  <c r="BK727" s="17"/>
      <c r="BL727" s="17"/>
      <c r="BM727" s="17"/>
      <c r="BN727" s="17"/>
      <c r="BO727" s="17"/>
      <c r="BP727" s="17"/>
      <c r="BQ727" s="17"/>
      <c r="BR727" s="17"/>
      <c r="BS727" s="17"/>
      <c r="BT727" s="17"/>
      <c r="BU727" s="17"/>
      <c r="BV727" s="17"/>
      <c r="BW727" s="17"/>
      <c r="BX727" s="17"/>
      <c r="BY727" s="17"/>
      <c r="BZ727" s="17"/>
      <c r="CA727" s="17"/>
      <c r="CB727" s="17"/>
      <c r="CC727" s="17"/>
      <c r="CD727" s="17"/>
      <c r="CE727" s="17"/>
      <c r="CF727" s="17"/>
      <c r="CG727" s="17"/>
      <c r="CH727" s="17"/>
      <c r="CI727" s="17"/>
      <c r="CJ727" s="17"/>
      <c r="CK727" s="17"/>
      <c r="CL727" s="17"/>
      <c r="CM727" s="17"/>
      <c r="CN727" s="17"/>
      <c r="CO727" s="17"/>
      <c r="CP727" s="17"/>
      <c r="CQ727" s="17"/>
      <c r="CR727" s="17"/>
      <c r="CS727" s="17"/>
      <c r="CT727" s="17"/>
      <c r="CU727" s="17"/>
      <c r="CV727" s="17"/>
      <c r="CW727" s="17"/>
      <c r="CX727" s="17"/>
      <c r="CY727" s="17"/>
      <c r="CZ727" s="17"/>
      <c r="DA727" s="17"/>
      <c r="DB727" s="17"/>
      <c r="DC727" s="17"/>
      <c r="DD727" s="17"/>
      <c r="DE727" s="17"/>
      <c r="DF727" s="17"/>
      <c r="DG727" s="17"/>
      <c r="DH727" s="17"/>
      <c r="DI727" s="17"/>
      <c r="DJ727" s="17"/>
      <c r="DK727" s="17"/>
      <c r="DL727" s="17"/>
      <c r="DM727" s="17"/>
      <c r="DN727" s="17"/>
      <c r="DO727" s="17"/>
      <c r="DP727" s="17"/>
      <c r="DQ727" s="17"/>
      <c r="DR727" s="17"/>
      <c r="DS727" s="17"/>
      <c r="DT727" s="17"/>
      <c r="DU727" s="17"/>
      <c r="DV727" s="17"/>
      <c r="DW727" s="17"/>
    </row>
    <row r="728" spans="1:127" ht="18" customHeight="1">
      <c r="A728" s="16"/>
      <c r="B728" s="16"/>
      <c r="C728" s="16"/>
      <c r="D728" s="16"/>
      <c r="E728" s="16"/>
      <c r="F728" s="16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  <c r="CR728" s="17"/>
      <c r="CS728" s="17"/>
      <c r="CT728" s="17"/>
      <c r="CU728" s="17"/>
      <c r="CV728" s="17"/>
      <c r="CW728" s="17"/>
      <c r="CX728" s="17"/>
      <c r="CY728" s="17"/>
      <c r="CZ728" s="17"/>
      <c r="DA728" s="17"/>
      <c r="DB728" s="17"/>
      <c r="DC728" s="17"/>
      <c r="DD728" s="17"/>
      <c r="DE728" s="17"/>
      <c r="DF728" s="17"/>
      <c r="DG728" s="17"/>
      <c r="DH728" s="17"/>
      <c r="DI728" s="17"/>
      <c r="DJ728" s="17"/>
      <c r="DK728" s="17"/>
      <c r="DL728" s="17"/>
      <c r="DM728" s="17"/>
      <c r="DN728" s="17"/>
      <c r="DO728" s="17"/>
      <c r="DP728" s="17"/>
      <c r="DQ728" s="17"/>
      <c r="DR728" s="17"/>
      <c r="DS728" s="17"/>
      <c r="DT728" s="17"/>
      <c r="DU728" s="17"/>
      <c r="DV728" s="17"/>
      <c r="DW728" s="17"/>
    </row>
    <row r="729" spans="1:127" ht="18" customHeight="1">
      <c r="A729" s="16"/>
      <c r="B729" s="16"/>
      <c r="C729" s="16"/>
      <c r="D729" s="16"/>
      <c r="E729" s="16"/>
      <c r="F729" s="16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  <c r="CR729" s="17"/>
      <c r="CS729" s="17"/>
      <c r="CT729" s="17"/>
      <c r="CU729" s="17"/>
      <c r="CV729" s="17"/>
      <c r="CW729" s="17"/>
      <c r="CX729" s="17"/>
      <c r="CY729" s="17"/>
      <c r="CZ729" s="17"/>
      <c r="DA729" s="17"/>
      <c r="DB729" s="17"/>
      <c r="DC729" s="17"/>
      <c r="DD729" s="17"/>
      <c r="DE729" s="17"/>
      <c r="DF729" s="17"/>
      <c r="DG729" s="17"/>
      <c r="DH729" s="17"/>
      <c r="DI729" s="17"/>
      <c r="DJ729" s="17"/>
      <c r="DK729" s="17"/>
      <c r="DL729" s="17"/>
      <c r="DM729" s="17"/>
      <c r="DN729" s="17"/>
      <c r="DO729" s="17"/>
      <c r="DP729" s="17"/>
      <c r="DQ729" s="17"/>
      <c r="DR729" s="17"/>
      <c r="DS729" s="17"/>
      <c r="DT729" s="17"/>
      <c r="DU729" s="17"/>
      <c r="DV729" s="17"/>
      <c r="DW729" s="17"/>
    </row>
    <row r="730" spans="1:127" ht="18" customHeight="1">
      <c r="A730" s="16"/>
      <c r="B730" s="16"/>
      <c r="C730" s="16"/>
      <c r="D730" s="16"/>
      <c r="E730" s="16"/>
      <c r="F730" s="16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  <c r="BK730" s="17"/>
      <c r="BL730" s="17"/>
      <c r="BM730" s="17"/>
      <c r="BN730" s="17"/>
      <c r="BO730" s="17"/>
      <c r="BP730" s="17"/>
      <c r="BQ730" s="17"/>
      <c r="BR730" s="17"/>
      <c r="BS730" s="17"/>
      <c r="BT730" s="17"/>
      <c r="BU730" s="17"/>
      <c r="BV730" s="17"/>
      <c r="BW730" s="17"/>
      <c r="BX730" s="17"/>
      <c r="BY730" s="17"/>
      <c r="BZ730" s="17"/>
      <c r="CA730" s="17"/>
      <c r="CB730" s="17"/>
      <c r="CC730" s="17"/>
      <c r="CD730" s="17"/>
      <c r="CE730" s="17"/>
      <c r="CF730" s="17"/>
      <c r="CG730" s="17"/>
      <c r="CH730" s="17"/>
      <c r="CI730" s="17"/>
      <c r="CJ730" s="17"/>
      <c r="CK730" s="17"/>
      <c r="CL730" s="17"/>
      <c r="CM730" s="17"/>
      <c r="CN730" s="17"/>
      <c r="CO730" s="17"/>
      <c r="CP730" s="17"/>
      <c r="CQ730" s="17"/>
      <c r="CR730" s="17"/>
      <c r="CS730" s="17"/>
      <c r="CT730" s="17"/>
      <c r="CU730" s="17"/>
      <c r="CV730" s="17"/>
      <c r="CW730" s="17"/>
      <c r="CX730" s="17"/>
      <c r="CY730" s="17"/>
      <c r="CZ730" s="17"/>
      <c r="DA730" s="17"/>
      <c r="DB730" s="17"/>
      <c r="DC730" s="17"/>
      <c r="DD730" s="17"/>
      <c r="DE730" s="17"/>
      <c r="DF730" s="17"/>
      <c r="DG730" s="17"/>
      <c r="DH730" s="17"/>
      <c r="DI730" s="17"/>
      <c r="DJ730" s="17"/>
      <c r="DK730" s="17"/>
      <c r="DL730" s="17"/>
      <c r="DM730" s="17"/>
      <c r="DN730" s="17"/>
      <c r="DO730" s="17"/>
      <c r="DP730" s="17"/>
      <c r="DQ730" s="17"/>
      <c r="DR730" s="17"/>
      <c r="DS730" s="17"/>
      <c r="DT730" s="17"/>
      <c r="DU730" s="17"/>
      <c r="DV730" s="17"/>
      <c r="DW730" s="17"/>
    </row>
    <row r="731" spans="1:127" ht="18" customHeight="1">
      <c r="A731" s="16"/>
      <c r="B731" s="16"/>
      <c r="C731" s="16"/>
      <c r="D731" s="16"/>
      <c r="E731" s="16"/>
      <c r="F731" s="16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  <c r="BK731" s="17"/>
      <c r="BL731" s="17"/>
      <c r="BM731" s="17"/>
      <c r="BN731" s="17"/>
      <c r="BO731" s="17"/>
      <c r="BP731" s="17"/>
      <c r="BQ731" s="17"/>
      <c r="BR731" s="17"/>
      <c r="BS731" s="17"/>
      <c r="BT731" s="17"/>
      <c r="BU731" s="17"/>
      <c r="BV731" s="17"/>
      <c r="BW731" s="17"/>
      <c r="BX731" s="17"/>
      <c r="BY731" s="17"/>
      <c r="BZ731" s="17"/>
      <c r="CA731" s="17"/>
      <c r="CB731" s="17"/>
      <c r="CC731" s="17"/>
      <c r="CD731" s="17"/>
      <c r="CE731" s="17"/>
      <c r="CF731" s="17"/>
      <c r="CG731" s="17"/>
      <c r="CH731" s="17"/>
      <c r="CI731" s="17"/>
      <c r="CJ731" s="17"/>
      <c r="CK731" s="17"/>
      <c r="CL731" s="17"/>
      <c r="CM731" s="17"/>
      <c r="CN731" s="17"/>
      <c r="CO731" s="17"/>
      <c r="CP731" s="17"/>
      <c r="CQ731" s="17"/>
      <c r="CR731" s="17"/>
      <c r="CS731" s="17"/>
      <c r="CT731" s="17"/>
      <c r="CU731" s="17"/>
      <c r="CV731" s="17"/>
      <c r="CW731" s="17"/>
      <c r="CX731" s="17"/>
      <c r="CY731" s="17"/>
      <c r="CZ731" s="17"/>
      <c r="DA731" s="17"/>
      <c r="DB731" s="17"/>
      <c r="DC731" s="17"/>
      <c r="DD731" s="17"/>
      <c r="DE731" s="17"/>
      <c r="DF731" s="17"/>
      <c r="DG731" s="17"/>
      <c r="DH731" s="17"/>
      <c r="DI731" s="17"/>
      <c r="DJ731" s="17"/>
      <c r="DK731" s="17"/>
      <c r="DL731" s="17"/>
      <c r="DM731" s="17"/>
      <c r="DN731" s="17"/>
      <c r="DO731" s="17"/>
      <c r="DP731" s="17"/>
      <c r="DQ731" s="17"/>
      <c r="DR731" s="17"/>
      <c r="DS731" s="17"/>
      <c r="DT731" s="17"/>
      <c r="DU731" s="17"/>
      <c r="DV731" s="17"/>
      <c r="DW731" s="17"/>
    </row>
    <row r="732" spans="1:127" ht="18" customHeight="1">
      <c r="A732" s="16"/>
      <c r="B732" s="16"/>
      <c r="C732" s="16"/>
      <c r="D732" s="16"/>
      <c r="E732" s="16"/>
      <c r="F732" s="16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  <c r="BK732" s="17"/>
      <c r="BL732" s="17"/>
      <c r="BM732" s="17"/>
      <c r="BN732" s="17"/>
      <c r="BO732" s="17"/>
      <c r="BP732" s="17"/>
      <c r="BQ732" s="17"/>
      <c r="BR732" s="17"/>
      <c r="BS732" s="17"/>
      <c r="BT732" s="17"/>
      <c r="BU732" s="17"/>
      <c r="BV732" s="17"/>
      <c r="BW732" s="17"/>
      <c r="BX732" s="17"/>
      <c r="BY732" s="17"/>
      <c r="BZ732" s="17"/>
      <c r="CA732" s="17"/>
      <c r="CB732" s="17"/>
      <c r="CC732" s="17"/>
      <c r="CD732" s="17"/>
      <c r="CE732" s="17"/>
      <c r="CF732" s="17"/>
      <c r="CG732" s="17"/>
      <c r="CH732" s="17"/>
      <c r="CI732" s="17"/>
      <c r="CJ732" s="17"/>
      <c r="CK732" s="17"/>
      <c r="CL732" s="17"/>
      <c r="CM732" s="17"/>
      <c r="CN732" s="17"/>
      <c r="CO732" s="17"/>
      <c r="CP732" s="17"/>
      <c r="CQ732" s="17"/>
      <c r="CR732" s="17"/>
      <c r="CS732" s="17"/>
      <c r="CT732" s="17"/>
      <c r="CU732" s="17"/>
      <c r="CV732" s="17"/>
      <c r="CW732" s="17"/>
      <c r="CX732" s="17"/>
      <c r="CY732" s="17"/>
      <c r="CZ732" s="17"/>
      <c r="DA732" s="17"/>
      <c r="DB732" s="17"/>
      <c r="DC732" s="17"/>
      <c r="DD732" s="17"/>
      <c r="DE732" s="17"/>
      <c r="DF732" s="17"/>
      <c r="DG732" s="17"/>
      <c r="DH732" s="17"/>
      <c r="DI732" s="17"/>
      <c r="DJ732" s="17"/>
      <c r="DK732" s="17"/>
      <c r="DL732" s="17"/>
      <c r="DM732" s="17"/>
      <c r="DN732" s="17"/>
      <c r="DO732" s="17"/>
      <c r="DP732" s="17"/>
      <c r="DQ732" s="17"/>
      <c r="DR732" s="17"/>
      <c r="DS732" s="17"/>
      <c r="DT732" s="17"/>
      <c r="DU732" s="17"/>
      <c r="DV732" s="17"/>
      <c r="DW732" s="17"/>
    </row>
    <row r="733" spans="1:127" ht="18" customHeight="1">
      <c r="A733" s="16"/>
      <c r="B733" s="16"/>
      <c r="C733" s="16"/>
      <c r="D733" s="16"/>
      <c r="E733" s="16"/>
      <c r="F733" s="16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  <c r="CW733" s="17"/>
      <c r="CX733" s="17"/>
      <c r="CY733" s="17"/>
      <c r="CZ733" s="17"/>
      <c r="DA733" s="17"/>
      <c r="DB733" s="17"/>
      <c r="DC733" s="17"/>
      <c r="DD733" s="17"/>
      <c r="DE733" s="17"/>
      <c r="DF733" s="17"/>
      <c r="DG733" s="17"/>
      <c r="DH733" s="17"/>
      <c r="DI733" s="17"/>
      <c r="DJ733" s="17"/>
      <c r="DK733" s="17"/>
      <c r="DL733" s="17"/>
      <c r="DM733" s="17"/>
      <c r="DN733" s="17"/>
      <c r="DO733" s="17"/>
      <c r="DP733" s="17"/>
      <c r="DQ733" s="17"/>
      <c r="DR733" s="17"/>
      <c r="DS733" s="17"/>
      <c r="DT733" s="17"/>
      <c r="DU733" s="17"/>
      <c r="DV733" s="17"/>
      <c r="DW733" s="17"/>
    </row>
    <row r="734" spans="1:127" ht="18" customHeight="1">
      <c r="A734" s="16"/>
      <c r="B734" s="16"/>
      <c r="C734" s="16"/>
      <c r="D734" s="16"/>
      <c r="E734" s="16"/>
      <c r="F734" s="16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  <c r="CR734" s="17"/>
      <c r="CS734" s="17"/>
      <c r="CT734" s="17"/>
      <c r="CU734" s="17"/>
      <c r="CV734" s="17"/>
      <c r="CW734" s="17"/>
      <c r="CX734" s="17"/>
      <c r="CY734" s="17"/>
      <c r="CZ734" s="17"/>
      <c r="DA734" s="17"/>
      <c r="DB734" s="17"/>
      <c r="DC734" s="17"/>
      <c r="DD734" s="17"/>
      <c r="DE734" s="17"/>
      <c r="DF734" s="17"/>
      <c r="DG734" s="17"/>
      <c r="DH734" s="17"/>
      <c r="DI734" s="17"/>
      <c r="DJ734" s="17"/>
      <c r="DK734" s="17"/>
      <c r="DL734" s="17"/>
      <c r="DM734" s="17"/>
      <c r="DN734" s="17"/>
      <c r="DO734" s="17"/>
      <c r="DP734" s="17"/>
      <c r="DQ734" s="17"/>
      <c r="DR734" s="17"/>
      <c r="DS734" s="17"/>
      <c r="DT734" s="17"/>
      <c r="DU734" s="17"/>
      <c r="DV734" s="17"/>
      <c r="DW734" s="17"/>
    </row>
    <row r="735" spans="1:127" ht="18" customHeight="1">
      <c r="A735" s="16"/>
      <c r="B735" s="16"/>
      <c r="C735" s="16"/>
      <c r="D735" s="16"/>
      <c r="E735" s="16"/>
      <c r="F735" s="16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  <c r="CR735" s="17"/>
      <c r="CS735" s="17"/>
      <c r="CT735" s="17"/>
      <c r="CU735" s="17"/>
      <c r="CV735" s="17"/>
      <c r="CW735" s="17"/>
      <c r="CX735" s="17"/>
      <c r="CY735" s="17"/>
      <c r="CZ735" s="17"/>
      <c r="DA735" s="17"/>
      <c r="DB735" s="17"/>
      <c r="DC735" s="17"/>
      <c r="DD735" s="17"/>
      <c r="DE735" s="17"/>
      <c r="DF735" s="17"/>
      <c r="DG735" s="17"/>
      <c r="DH735" s="17"/>
      <c r="DI735" s="17"/>
      <c r="DJ735" s="17"/>
      <c r="DK735" s="17"/>
      <c r="DL735" s="17"/>
      <c r="DM735" s="17"/>
      <c r="DN735" s="17"/>
      <c r="DO735" s="17"/>
      <c r="DP735" s="17"/>
      <c r="DQ735" s="17"/>
      <c r="DR735" s="17"/>
      <c r="DS735" s="17"/>
      <c r="DT735" s="17"/>
      <c r="DU735" s="17"/>
      <c r="DV735" s="17"/>
      <c r="DW735" s="17"/>
    </row>
    <row r="736" spans="1:127" ht="18" customHeight="1">
      <c r="A736" s="16"/>
      <c r="B736" s="16"/>
      <c r="C736" s="16"/>
      <c r="D736" s="16"/>
      <c r="E736" s="16"/>
      <c r="F736" s="16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  <c r="CR736" s="17"/>
      <c r="CS736" s="17"/>
      <c r="CT736" s="17"/>
      <c r="CU736" s="17"/>
      <c r="CV736" s="17"/>
      <c r="CW736" s="17"/>
      <c r="CX736" s="17"/>
      <c r="CY736" s="17"/>
      <c r="CZ736" s="17"/>
      <c r="DA736" s="17"/>
      <c r="DB736" s="17"/>
      <c r="DC736" s="17"/>
      <c r="DD736" s="17"/>
      <c r="DE736" s="17"/>
      <c r="DF736" s="17"/>
      <c r="DG736" s="17"/>
      <c r="DH736" s="17"/>
      <c r="DI736" s="17"/>
      <c r="DJ736" s="17"/>
      <c r="DK736" s="17"/>
      <c r="DL736" s="17"/>
      <c r="DM736" s="17"/>
      <c r="DN736" s="17"/>
      <c r="DO736" s="17"/>
      <c r="DP736" s="17"/>
      <c r="DQ736" s="17"/>
      <c r="DR736" s="17"/>
      <c r="DS736" s="17"/>
      <c r="DT736" s="17"/>
      <c r="DU736" s="17"/>
      <c r="DV736" s="17"/>
      <c r="DW736" s="17"/>
    </row>
    <row r="737" spans="1:127" ht="18" customHeight="1">
      <c r="A737" s="16"/>
      <c r="B737" s="16"/>
      <c r="C737" s="16"/>
      <c r="D737" s="16"/>
      <c r="E737" s="16"/>
      <c r="F737" s="16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  <c r="BK737" s="17"/>
      <c r="BL737" s="17"/>
      <c r="BM737" s="17"/>
      <c r="BN737" s="17"/>
      <c r="BO737" s="17"/>
      <c r="BP737" s="17"/>
      <c r="BQ737" s="17"/>
      <c r="BR737" s="17"/>
      <c r="BS737" s="17"/>
      <c r="BT737" s="17"/>
      <c r="BU737" s="17"/>
      <c r="BV737" s="17"/>
      <c r="BW737" s="17"/>
      <c r="BX737" s="17"/>
      <c r="BY737" s="17"/>
      <c r="BZ737" s="17"/>
      <c r="CA737" s="17"/>
      <c r="CB737" s="17"/>
      <c r="CC737" s="17"/>
      <c r="CD737" s="17"/>
      <c r="CE737" s="17"/>
      <c r="CF737" s="17"/>
      <c r="CG737" s="17"/>
      <c r="CH737" s="17"/>
      <c r="CI737" s="17"/>
      <c r="CJ737" s="17"/>
      <c r="CK737" s="17"/>
      <c r="CL737" s="17"/>
      <c r="CM737" s="17"/>
      <c r="CN737" s="17"/>
      <c r="CO737" s="17"/>
      <c r="CP737" s="17"/>
      <c r="CQ737" s="17"/>
      <c r="CR737" s="17"/>
      <c r="CS737" s="17"/>
      <c r="CT737" s="17"/>
      <c r="CU737" s="17"/>
      <c r="CV737" s="17"/>
      <c r="CW737" s="17"/>
      <c r="CX737" s="17"/>
      <c r="CY737" s="17"/>
      <c r="CZ737" s="17"/>
      <c r="DA737" s="17"/>
      <c r="DB737" s="17"/>
      <c r="DC737" s="17"/>
      <c r="DD737" s="17"/>
      <c r="DE737" s="17"/>
      <c r="DF737" s="17"/>
      <c r="DG737" s="17"/>
      <c r="DH737" s="17"/>
      <c r="DI737" s="17"/>
      <c r="DJ737" s="17"/>
      <c r="DK737" s="17"/>
      <c r="DL737" s="17"/>
      <c r="DM737" s="17"/>
      <c r="DN737" s="17"/>
      <c r="DO737" s="17"/>
      <c r="DP737" s="17"/>
      <c r="DQ737" s="17"/>
      <c r="DR737" s="17"/>
      <c r="DS737" s="17"/>
      <c r="DT737" s="17"/>
      <c r="DU737" s="17"/>
      <c r="DV737" s="17"/>
      <c r="DW737" s="17"/>
    </row>
    <row r="738" spans="1:127" ht="18" customHeight="1">
      <c r="A738" s="16"/>
      <c r="B738" s="16"/>
      <c r="C738" s="16"/>
      <c r="D738" s="16"/>
      <c r="E738" s="16"/>
      <c r="F738" s="16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  <c r="BK738" s="17"/>
      <c r="BL738" s="17"/>
      <c r="BM738" s="17"/>
      <c r="BN738" s="17"/>
      <c r="BO738" s="17"/>
      <c r="BP738" s="17"/>
      <c r="BQ738" s="17"/>
      <c r="BR738" s="17"/>
      <c r="BS738" s="17"/>
      <c r="BT738" s="17"/>
      <c r="BU738" s="17"/>
      <c r="BV738" s="17"/>
      <c r="BW738" s="17"/>
      <c r="BX738" s="17"/>
      <c r="BY738" s="17"/>
      <c r="BZ738" s="17"/>
      <c r="CA738" s="17"/>
      <c r="CB738" s="17"/>
      <c r="CC738" s="17"/>
      <c r="CD738" s="17"/>
      <c r="CE738" s="17"/>
      <c r="CF738" s="17"/>
      <c r="CG738" s="17"/>
      <c r="CH738" s="17"/>
      <c r="CI738" s="17"/>
      <c r="CJ738" s="17"/>
      <c r="CK738" s="17"/>
      <c r="CL738" s="17"/>
      <c r="CM738" s="17"/>
      <c r="CN738" s="17"/>
      <c r="CO738" s="17"/>
      <c r="CP738" s="17"/>
      <c r="CQ738" s="17"/>
      <c r="CR738" s="17"/>
      <c r="CS738" s="17"/>
      <c r="CT738" s="17"/>
      <c r="CU738" s="17"/>
      <c r="CV738" s="17"/>
      <c r="CW738" s="17"/>
      <c r="CX738" s="17"/>
      <c r="CY738" s="17"/>
      <c r="CZ738" s="17"/>
      <c r="DA738" s="17"/>
      <c r="DB738" s="17"/>
      <c r="DC738" s="17"/>
      <c r="DD738" s="17"/>
      <c r="DE738" s="17"/>
      <c r="DF738" s="17"/>
      <c r="DG738" s="17"/>
      <c r="DH738" s="17"/>
      <c r="DI738" s="17"/>
      <c r="DJ738" s="17"/>
      <c r="DK738" s="17"/>
      <c r="DL738" s="17"/>
      <c r="DM738" s="17"/>
      <c r="DN738" s="17"/>
      <c r="DO738" s="17"/>
      <c r="DP738" s="17"/>
      <c r="DQ738" s="17"/>
      <c r="DR738" s="17"/>
      <c r="DS738" s="17"/>
      <c r="DT738" s="17"/>
      <c r="DU738" s="17"/>
      <c r="DV738" s="17"/>
      <c r="DW738" s="17"/>
    </row>
    <row r="739" spans="1:127" ht="18" customHeight="1">
      <c r="A739" s="16"/>
      <c r="B739" s="16"/>
      <c r="C739" s="16"/>
      <c r="D739" s="16"/>
      <c r="E739" s="16"/>
      <c r="F739" s="16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  <c r="BK739" s="17"/>
      <c r="BL739" s="17"/>
      <c r="BM739" s="17"/>
      <c r="BN739" s="17"/>
      <c r="BO739" s="17"/>
      <c r="BP739" s="17"/>
      <c r="BQ739" s="17"/>
      <c r="BR739" s="17"/>
      <c r="BS739" s="17"/>
      <c r="BT739" s="17"/>
      <c r="BU739" s="17"/>
      <c r="BV739" s="17"/>
      <c r="BW739" s="17"/>
      <c r="BX739" s="17"/>
      <c r="BY739" s="17"/>
      <c r="BZ739" s="17"/>
      <c r="CA739" s="17"/>
      <c r="CB739" s="17"/>
      <c r="CC739" s="17"/>
      <c r="CD739" s="17"/>
      <c r="CE739" s="17"/>
      <c r="CF739" s="17"/>
      <c r="CG739" s="17"/>
      <c r="CH739" s="17"/>
      <c r="CI739" s="17"/>
      <c r="CJ739" s="17"/>
      <c r="CK739" s="17"/>
      <c r="CL739" s="17"/>
      <c r="CM739" s="17"/>
      <c r="CN739" s="17"/>
      <c r="CO739" s="17"/>
      <c r="CP739" s="17"/>
      <c r="CQ739" s="17"/>
      <c r="CR739" s="17"/>
      <c r="CS739" s="17"/>
      <c r="CT739" s="17"/>
      <c r="CU739" s="17"/>
      <c r="CV739" s="17"/>
      <c r="CW739" s="17"/>
      <c r="CX739" s="17"/>
      <c r="CY739" s="17"/>
      <c r="CZ739" s="17"/>
      <c r="DA739" s="17"/>
      <c r="DB739" s="17"/>
      <c r="DC739" s="17"/>
      <c r="DD739" s="17"/>
      <c r="DE739" s="17"/>
      <c r="DF739" s="17"/>
      <c r="DG739" s="17"/>
      <c r="DH739" s="17"/>
      <c r="DI739" s="17"/>
      <c r="DJ739" s="17"/>
      <c r="DK739" s="17"/>
      <c r="DL739" s="17"/>
      <c r="DM739" s="17"/>
      <c r="DN739" s="17"/>
      <c r="DO739" s="17"/>
      <c r="DP739" s="17"/>
      <c r="DQ739" s="17"/>
      <c r="DR739" s="17"/>
      <c r="DS739" s="17"/>
      <c r="DT739" s="17"/>
      <c r="DU739" s="17"/>
      <c r="DV739" s="17"/>
      <c r="DW739" s="17"/>
    </row>
    <row r="740" spans="1:127" ht="18" customHeight="1">
      <c r="A740" s="16"/>
      <c r="B740" s="16"/>
      <c r="C740" s="16"/>
      <c r="D740" s="16"/>
      <c r="E740" s="16"/>
      <c r="F740" s="16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  <c r="BK740" s="17"/>
      <c r="BL740" s="17"/>
      <c r="BM740" s="17"/>
      <c r="BN740" s="17"/>
      <c r="BO740" s="17"/>
      <c r="BP740" s="17"/>
      <c r="BQ740" s="17"/>
      <c r="BR740" s="17"/>
      <c r="BS740" s="17"/>
      <c r="BT740" s="17"/>
      <c r="BU740" s="17"/>
      <c r="BV740" s="17"/>
      <c r="BW740" s="17"/>
      <c r="BX740" s="17"/>
      <c r="BY740" s="17"/>
      <c r="BZ740" s="17"/>
      <c r="CA740" s="17"/>
      <c r="CB740" s="17"/>
      <c r="CC740" s="17"/>
      <c r="CD740" s="17"/>
      <c r="CE740" s="17"/>
      <c r="CF740" s="17"/>
      <c r="CG740" s="17"/>
      <c r="CH740" s="17"/>
      <c r="CI740" s="17"/>
      <c r="CJ740" s="17"/>
      <c r="CK740" s="17"/>
      <c r="CL740" s="17"/>
      <c r="CM740" s="17"/>
      <c r="CN740" s="17"/>
      <c r="CO740" s="17"/>
      <c r="CP740" s="17"/>
      <c r="CQ740" s="17"/>
      <c r="CR740" s="17"/>
      <c r="CS740" s="17"/>
      <c r="CT740" s="17"/>
      <c r="CU740" s="17"/>
      <c r="CV740" s="17"/>
      <c r="CW740" s="17"/>
      <c r="CX740" s="17"/>
      <c r="CY740" s="17"/>
      <c r="CZ740" s="17"/>
      <c r="DA740" s="17"/>
      <c r="DB740" s="17"/>
      <c r="DC740" s="17"/>
      <c r="DD740" s="17"/>
      <c r="DE740" s="17"/>
      <c r="DF740" s="17"/>
      <c r="DG740" s="17"/>
      <c r="DH740" s="17"/>
      <c r="DI740" s="17"/>
      <c r="DJ740" s="17"/>
      <c r="DK740" s="17"/>
      <c r="DL740" s="17"/>
      <c r="DM740" s="17"/>
      <c r="DN740" s="17"/>
      <c r="DO740" s="17"/>
      <c r="DP740" s="17"/>
      <c r="DQ740" s="17"/>
      <c r="DR740" s="17"/>
      <c r="DS740" s="17"/>
      <c r="DT740" s="17"/>
      <c r="DU740" s="17"/>
      <c r="DV740" s="17"/>
      <c r="DW740" s="17"/>
    </row>
    <row r="741" spans="1:127" ht="18" customHeight="1">
      <c r="A741" s="16"/>
      <c r="B741" s="16"/>
      <c r="C741" s="16"/>
      <c r="D741" s="16"/>
      <c r="E741" s="16"/>
      <c r="F741" s="16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  <c r="BK741" s="17"/>
      <c r="BL741" s="17"/>
      <c r="BM741" s="17"/>
      <c r="BN741" s="17"/>
      <c r="BO741" s="17"/>
      <c r="BP741" s="17"/>
      <c r="BQ741" s="17"/>
      <c r="BR741" s="17"/>
      <c r="BS741" s="17"/>
      <c r="BT741" s="17"/>
      <c r="BU741" s="17"/>
      <c r="BV741" s="17"/>
      <c r="BW741" s="17"/>
      <c r="BX741" s="17"/>
      <c r="BY741" s="17"/>
      <c r="BZ741" s="17"/>
      <c r="CA741" s="17"/>
      <c r="CB741" s="17"/>
      <c r="CC741" s="17"/>
      <c r="CD741" s="17"/>
      <c r="CE741" s="17"/>
      <c r="CF741" s="17"/>
      <c r="CG741" s="17"/>
      <c r="CH741" s="17"/>
      <c r="CI741" s="17"/>
      <c r="CJ741" s="17"/>
      <c r="CK741" s="17"/>
      <c r="CL741" s="17"/>
      <c r="CM741" s="17"/>
      <c r="CN741" s="17"/>
      <c r="CO741" s="17"/>
      <c r="CP741" s="17"/>
      <c r="CQ741" s="17"/>
      <c r="CR741" s="17"/>
      <c r="CS741" s="17"/>
      <c r="CT741" s="17"/>
      <c r="CU741" s="17"/>
      <c r="CV741" s="17"/>
      <c r="CW741" s="17"/>
      <c r="CX741" s="17"/>
      <c r="CY741" s="17"/>
      <c r="CZ741" s="17"/>
      <c r="DA741" s="17"/>
      <c r="DB741" s="17"/>
      <c r="DC741" s="17"/>
      <c r="DD741" s="17"/>
      <c r="DE741" s="17"/>
      <c r="DF741" s="17"/>
      <c r="DG741" s="17"/>
      <c r="DH741" s="17"/>
      <c r="DI741" s="17"/>
      <c r="DJ741" s="17"/>
      <c r="DK741" s="17"/>
      <c r="DL741" s="17"/>
      <c r="DM741" s="17"/>
      <c r="DN741" s="17"/>
      <c r="DO741" s="17"/>
      <c r="DP741" s="17"/>
      <c r="DQ741" s="17"/>
      <c r="DR741" s="17"/>
      <c r="DS741" s="17"/>
      <c r="DT741" s="17"/>
      <c r="DU741" s="17"/>
      <c r="DV741" s="17"/>
      <c r="DW741" s="17"/>
    </row>
    <row r="742" spans="1:127" ht="18" customHeight="1">
      <c r="A742" s="16"/>
      <c r="B742" s="16"/>
      <c r="C742" s="16"/>
      <c r="D742" s="16"/>
      <c r="E742" s="16"/>
      <c r="F742" s="16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  <c r="CR742" s="17"/>
      <c r="CS742" s="17"/>
      <c r="CT742" s="17"/>
      <c r="CU742" s="17"/>
      <c r="CV742" s="17"/>
      <c r="CW742" s="17"/>
      <c r="CX742" s="17"/>
      <c r="CY742" s="17"/>
      <c r="CZ742" s="17"/>
      <c r="DA742" s="17"/>
      <c r="DB742" s="17"/>
      <c r="DC742" s="17"/>
      <c r="DD742" s="17"/>
      <c r="DE742" s="17"/>
      <c r="DF742" s="17"/>
      <c r="DG742" s="17"/>
      <c r="DH742" s="17"/>
      <c r="DI742" s="17"/>
      <c r="DJ742" s="17"/>
      <c r="DK742" s="17"/>
      <c r="DL742" s="17"/>
      <c r="DM742" s="17"/>
      <c r="DN742" s="17"/>
      <c r="DO742" s="17"/>
      <c r="DP742" s="17"/>
      <c r="DQ742" s="17"/>
      <c r="DR742" s="17"/>
      <c r="DS742" s="17"/>
      <c r="DT742" s="17"/>
      <c r="DU742" s="17"/>
      <c r="DV742" s="17"/>
      <c r="DW742" s="17"/>
    </row>
    <row r="743" spans="1:127" ht="18" customHeight="1">
      <c r="A743" s="16"/>
      <c r="B743" s="16"/>
      <c r="C743" s="16"/>
      <c r="D743" s="16"/>
      <c r="E743" s="16"/>
      <c r="F743" s="16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  <c r="CR743" s="17"/>
      <c r="CS743" s="17"/>
      <c r="CT743" s="17"/>
      <c r="CU743" s="17"/>
      <c r="CV743" s="17"/>
      <c r="CW743" s="17"/>
      <c r="CX743" s="17"/>
      <c r="CY743" s="17"/>
      <c r="CZ743" s="17"/>
      <c r="DA743" s="17"/>
      <c r="DB743" s="17"/>
      <c r="DC743" s="17"/>
      <c r="DD743" s="17"/>
      <c r="DE743" s="17"/>
      <c r="DF743" s="17"/>
      <c r="DG743" s="17"/>
      <c r="DH743" s="17"/>
      <c r="DI743" s="17"/>
      <c r="DJ743" s="17"/>
      <c r="DK743" s="17"/>
      <c r="DL743" s="17"/>
      <c r="DM743" s="17"/>
      <c r="DN743" s="17"/>
      <c r="DO743" s="17"/>
      <c r="DP743" s="17"/>
      <c r="DQ743" s="17"/>
      <c r="DR743" s="17"/>
      <c r="DS743" s="17"/>
      <c r="DT743" s="17"/>
      <c r="DU743" s="17"/>
      <c r="DV743" s="17"/>
      <c r="DW743" s="17"/>
    </row>
    <row r="744" spans="1:127" ht="18" customHeight="1">
      <c r="A744" s="16"/>
      <c r="B744" s="16"/>
      <c r="C744" s="16"/>
      <c r="D744" s="16"/>
      <c r="E744" s="16"/>
      <c r="F744" s="16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  <c r="BK744" s="17"/>
      <c r="BL744" s="17"/>
      <c r="BM744" s="17"/>
      <c r="BN744" s="17"/>
      <c r="BO744" s="17"/>
      <c r="BP744" s="17"/>
      <c r="BQ744" s="17"/>
      <c r="BR744" s="17"/>
      <c r="BS744" s="17"/>
      <c r="BT744" s="17"/>
      <c r="BU744" s="17"/>
      <c r="BV744" s="17"/>
      <c r="BW744" s="17"/>
      <c r="BX744" s="17"/>
      <c r="BY744" s="17"/>
      <c r="BZ744" s="17"/>
      <c r="CA744" s="17"/>
      <c r="CB744" s="17"/>
      <c r="CC744" s="17"/>
      <c r="CD744" s="17"/>
      <c r="CE744" s="17"/>
      <c r="CF744" s="17"/>
      <c r="CG744" s="17"/>
      <c r="CH744" s="17"/>
      <c r="CI744" s="17"/>
      <c r="CJ744" s="17"/>
      <c r="CK744" s="17"/>
      <c r="CL744" s="17"/>
      <c r="CM744" s="17"/>
      <c r="CN744" s="17"/>
      <c r="CO744" s="17"/>
      <c r="CP744" s="17"/>
      <c r="CQ744" s="17"/>
      <c r="CR744" s="17"/>
      <c r="CS744" s="17"/>
      <c r="CT744" s="17"/>
      <c r="CU744" s="17"/>
      <c r="CV744" s="17"/>
      <c r="CW744" s="17"/>
      <c r="CX744" s="17"/>
      <c r="CY744" s="17"/>
      <c r="CZ744" s="17"/>
      <c r="DA744" s="17"/>
      <c r="DB744" s="17"/>
      <c r="DC744" s="17"/>
      <c r="DD744" s="17"/>
      <c r="DE744" s="17"/>
      <c r="DF744" s="17"/>
      <c r="DG744" s="17"/>
      <c r="DH744" s="17"/>
      <c r="DI744" s="17"/>
      <c r="DJ744" s="17"/>
      <c r="DK744" s="17"/>
      <c r="DL744" s="17"/>
      <c r="DM744" s="17"/>
      <c r="DN744" s="17"/>
      <c r="DO744" s="17"/>
      <c r="DP744" s="17"/>
      <c r="DQ744" s="17"/>
      <c r="DR744" s="17"/>
      <c r="DS744" s="17"/>
      <c r="DT744" s="17"/>
      <c r="DU744" s="17"/>
      <c r="DV744" s="17"/>
      <c r="DW744" s="17"/>
    </row>
    <row r="745" spans="1:127" ht="18" customHeight="1">
      <c r="A745" s="16"/>
      <c r="B745" s="16"/>
      <c r="C745" s="16"/>
      <c r="D745" s="16"/>
      <c r="E745" s="16"/>
      <c r="F745" s="16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  <c r="CR745" s="17"/>
      <c r="CS745" s="17"/>
      <c r="CT745" s="17"/>
      <c r="CU745" s="17"/>
      <c r="CV745" s="17"/>
      <c r="CW745" s="17"/>
      <c r="CX745" s="17"/>
      <c r="CY745" s="17"/>
      <c r="CZ745" s="17"/>
      <c r="DA745" s="17"/>
      <c r="DB745" s="17"/>
      <c r="DC745" s="17"/>
      <c r="DD745" s="17"/>
      <c r="DE745" s="17"/>
      <c r="DF745" s="17"/>
      <c r="DG745" s="17"/>
      <c r="DH745" s="17"/>
      <c r="DI745" s="17"/>
      <c r="DJ745" s="17"/>
      <c r="DK745" s="17"/>
      <c r="DL745" s="17"/>
      <c r="DM745" s="17"/>
      <c r="DN745" s="17"/>
      <c r="DO745" s="17"/>
      <c r="DP745" s="17"/>
      <c r="DQ745" s="17"/>
      <c r="DR745" s="17"/>
      <c r="DS745" s="17"/>
      <c r="DT745" s="17"/>
      <c r="DU745" s="17"/>
      <c r="DV745" s="17"/>
      <c r="DW745" s="17"/>
    </row>
    <row r="746" spans="1:127" ht="18" customHeight="1">
      <c r="A746" s="16"/>
      <c r="B746" s="16"/>
      <c r="C746" s="16"/>
      <c r="D746" s="16"/>
      <c r="E746" s="16"/>
      <c r="F746" s="16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  <c r="CR746" s="17"/>
      <c r="CS746" s="17"/>
      <c r="CT746" s="17"/>
      <c r="CU746" s="17"/>
      <c r="CV746" s="17"/>
      <c r="CW746" s="17"/>
      <c r="CX746" s="17"/>
      <c r="CY746" s="17"/>
      <c r="CZ746" s="17"/>
      <c r="DA746" s="17"/>
      <c r="DB746" s="17"/>
      <c r="DC746" s="17"/>
      <c r="DD746" s="17"/>
      <c r="DE746" s="17"/>
      <c r="DF746" s="17"/>
      <c r="DG746" s="17"/>
      <c r="DH746" s="17"/>
      <c r="DI746" s="17"/>
      <c r="DJ746" s="17"/>
      <c r="DK746" s="17"/>
      <c r="DL746" s="17"/>
      <c r="DM746" s="17"/>
      <c r="DN746" s="17"/>
      <c r="DO746" s="17"/>
      <c r="DP746" s="17"/>
      <c r="DQ746" s="17"/>
      <c r="DR746" s="17"/>
      <c r="DS746" s="17"/>
      <c r="DT746" s="17"/>
      <c r="DU746" s="17"/>
      <c r="DV746" s="17"/>
      <c r="DW746" s="17"/>
    </row>
    <row r="747" spans="1:127" ht="18" customHeight="1">
      <c r="A747" s="16"/>
      <c r="B747" s="16"/>
      <c r="C747" s="16"/>
      <c r="D747" s="16"/>
      <c r="E747" s="16"/>
      <c r="F747" s="16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  <c r="CR747" s="17"/>
      <c r="CS747" s="17"/>
      <c r="CT747" s="17"/>
      <c r="CU747" s="17"/>
      <c r="CV747" s="17"/>
      <c r="CW747" s="17"/>
      <c r="CX747" s="17"/>
      <c r="CY747" s="17"/>
      <c r="CZ747" s="17"/>
      <c r="DA747" s="17"/>
      <c r="DB747" s="17"/>
      <c r="DC747" s="17"/>
      <c r="DD747" s="17"/>
      <c r="DE747" s="17"/>
      <c r="DF747" s="17"/>
      <c r="DG747" s="17"/>
      <c r="DH747" s="17"/>
      <c r="DI747" s="17"/>
      <c r="DJ747" s="17"/>
      <c r="DK747" s="17"/>
      <c r="DL747" s="17"/>
      <c r="DM747" s="17"/>
      <c r="DN747" s="17"/>
      <c r="DO747" s="17"/>
      <c r="DP747" s="17"/>
      <c r="DQ747" s="17"/>
      <c r="DR747" s="17"/>
      <c r="DS747" s="17"/>
      <c r="DT747" s="17"/>
      <c r="DU747" s="17"/>
      <c r="DV747" s="17"/>
      <c r="DW747" s="17"/>
    </row>
    <row r="748" spans="1:127" ht="18" customHeight="1">
      <c r="A748" s="16"/>
      <c r="B748" s="16"/>
      <c r="C748" s="16"/>
      <c r="D748" s="16"/>
      <c r="E748" s="16"/>
      <c r="F748" s="16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  <c r="CR748" s="17"/>
      <c r="CS748" s="17"/>
      <c r="CT748" s="17"/>
      <c r="CU748" s="17"/>
      <c r="CV748" s="17"/>
      <c r="CW748" s="17"/>
      <c r="CX748" s="17"/>
      <c r="CY748" s="17"/>
      <c r="CZ748" s="17"/>
      <c r="DA748" s="17"/>
      <c r="DB748" s="17"/>
      <c r="DC748" s="17"/>
      <c r="DD748" s="17"/>
      <c r="DE748" s="17"/>
      <c r="DF748" s="17"/>
      <c r="DG748" s="17"/>
      <c r="DH748" s="17"/>
      <c r="DI748" s="17"/>
      <c r="DJ748" s="17"/>
      <c r="DK748" s="17"/>
      <c r="DL748" s="17"/>
      <c r="DM748" s="17"/>
      <c r="DN748" s="17"/>
      <c r="DO748" s="17"/>
      <c r="DP748" s="17"/>
      <c r="DQ748" s="17"/>
      <c r="DR748" s="17"/>
      <c r="DS748" s="17"/>
      <c r="DT748" s="17"/>
      <c r="DU748" s="17"/>
      <c r="DV748" s="17"/>
      <c r="DW748" s="17"/>
    </row>
    <row r="749" spans="1:127" ht="18" customHeight="1">
      <c r="A749" s="16"/>
      <c r="B749" s="16"/>
      <c r="C749" s="16"/>
      <c r="D749" s="16"/>
      <c r="E749" s="16"/>
      <c r="F749" s="16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  <c r="BK749" s="17"/>
      <c r="BL749" s="17"/>
      <c r="BM749" s="17"/>
      <c r="BN749" s="17"/>
      <c r="BO749" s="17"/>
      <c r="BP749" s="17"/>
      <c r="BQ749" s="17"/>
      <c r="BR749" s="17"/>
      <c r="BS749" s="17"/>
      <c r="BT749" s="17"/>
      <c r="BU749" s="17"/>
      <c r="BV749" s="17"/>
      <c r="BW749" s="17"/>
      <c r="BX749" s="17"/>
      <c r="BY749" s="17"/>
      <c r="BZ749" s="17"/>
      <c r="CA749" s="17"/>
      <c r="CB749" s="17"/>
      <c r="CC749" s="17"/>
      <c r="CD749" s="17"/>
      <c r="CE749" s="17"/>
      <c r="CF749" s="17"/>
      <c r="CG749" s="17"/>
      <c r="CH749" s="17"/>
      <c r="CI749" s="17"/>
      <c r="CJ749" s="17"/>
      <c r="CK749" s="17"/>
      <c r="CL749" s="17"/>
      <c r="CM749" s="17"/>
      <c r="CN749" s="17"/>
      <c r="CO749" s="17"/>
      <c r="CP749" s="17"/>
      <c r="CQ749" s="17"/>
      <c r="CR749" s="17"/>
      <c r="CS749" s="17"/>
      <c r="CT749" s="17"/>
      <c r="CU749" s="17"/>
      <c r="CV749" s="17"/>
      <c r="CW749" s="17"/>
      <c r="CX749" s="17"/>
      <c r="CY749" s="17"/>
      <c r="CZ749" s="17"/>
      <c r="DA749" s="17"/>
      <c r="DB749" s="17"/>
      <c r="DC749" s="17"/>
      <c r="DD749" s="17"/>
      <c r="DE749" s="17"/>
      <c r="DF749" s="17"/>
      <c r="DG749" s="17"/>
      <c r="DH749" s="17"/>
      <c r="DI749" s="17"/>
      <c r="DJ749" s="17"/>
      <c r="DK749" s="17"/>
      <c r="DL749" s="17"/>
      <c r="DM749" s="17"/>
      <c r="DN749" s="17"/>
      <c r="DO749" s="17"/>
      <c r="DP749" s="17"/>
      <c r="DQ749" s="17"/>
      <c r="DR749" s="17"/>
      <c r="DS749" s="17"/>
      <c r="DT749" s="17"/>
      <c r="DU749" s="17"/>
      <c r="DV749" s="17"/>
      <c r="DW749" s="17"/>
    </row>
    <row r="750" spans="1:127" ht="18" customHeight="1">
      <c r="A750" s="16"/>
      <c r="B750" s="16"/>
      <c r="C750" s="16"/>
      <c r="D750" s="16"/>
      <c r="E750" s="16"/>
      <c r="F750" s="16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  <c r="BK750" s="17"/>
      <c r="BL750" s="17"/>
      <c r="BM750" s="17"/>
      <c r="BN750" s="17"/>
      <c r="BO750" s="17"/>
      <c r="BP750" s="17"/>
      <c r="BQ750" s="17"/>
      <c r="BR750" s="17"/>
      <c r="BS750" s="17"/>
      <c r="BT750" s="17"/>
      <c r="BU750" s="17"/>
      <c r="BV750" s="17"/>
      <c r="BW750" s="17"/>
      <c r="BX750" s="17"/>
      <c r="BY750" s="17"/>
      <c r="BZ750" s="17"/>
      <c r="CA750" s="17"/>
      <c r="CB750" s="17"/>
      <c r="CC750" s="17"/>
      <c r="CD750" s="17"/>
      <c r="CE750" s="17"/>
      <c r="CF750" s="17"/>
      <c r="CG750" s="17"/>
      <c r="CH750" s="17"/>
      <c r="CI750" s="17"/>
      <c r="CJ750" s="17"/>
      <c r="CK750" s="17"/>
      <c r="CL750" s="17"/>
      <c r="CM750" s="17"/>
      <c r="CN750" s="17"/>
      <c r="CO750" s="17"/>
      <c r="CP750" s="17"/>
      <c r="CQ750" s="17"/>
      <c r="CR750" s="17"/>
      <c r="CS750" s="17"/>
      <c r="CT750" s="17"/>
      <c r="CU750" s="17"/>
      <c r="CV750" s="17"/>
      <c r="CW750" s="17"/>
      <c r="CX750" s="17"/>
      <c r="CY750" s="17"/>
      <c r="CZ750" s="17"/>
      <c r="DA750" s="17"/>
      <c r="DB750" s="17"/>
      <c r="DC750" s="17"/>
      <c r="DD750" s="17"/>
      <c r="DE750" s="17"/>
      <c r="DF750" s="17"/>
      <c r="DG750" s="17"/>
      <c r="DH750" s="17"/>
      <c r="DI750" s="17"/>
      <c r="DJ750" s="17"/>
      <c r="DK750" s="17"/>
      <c r="DL750" s="17"/>
      <c r="DM750" s="17"/>
      <c r="DN750" s="17"/>
      <c r="DO750" s="17"/>
      <c r="DP750" s="17"/>
      <c r="DQ750" s="17"/>
      <c r="DR750" s="17"/>
      <c r="DS750" s="17"/>
      <c r="DT750" s="17"/>
      <c r="DU750" s="17"/>
      <c r="DV750" s="17"/>
      <c r="DW750" s="17"/>
    </row>
    <row r="751" spans="1:127" ht="18" customHeight="1">
      <c r="A751" s="16"/>
      <c r="B751" s="16"/>
      <c r="C751" s="16"/>
      <c r="D751" s="16"/>
      <c r="E751" s="16"/>
      <c r="F751" s="16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  <c r="BK751" s="17"/>
      <c r="BL751" s="17"/>
      <c r="BM751" s="17"/>
      <c r="BN751" s="17"/>
      <c r="BO751" s="17"/>
      <c r="BP751" s="17"/>
      <c r="BQ751" s="17"/>
      <c r="BR751" s="17"/>
      <c r="BS751" s="17"/>
      <c r="BT751" s="17"/>
      <c r="BU751" s="17"/>
      <c r="BV751" s="17"/>
      <c r="BW751" s="17"/>
      <c r="BX751" s="17"/>
      <c r="BY751" s="17"/>
      <c r="BZ751" s="17"/>
      <c r="CA751" s="17"/>
      <c r="CB751" s="17"/>
      <c r="CC751" s="17"/>
      <c r="CD751" s="17"/>
      <c r="CE751" s="17"/>
      <c r="CF751" s="17"/>
      <c r="CG751" s="17"/>
      <c r="CH751" s="17"/>
      <c r="CI751" s="17"/>
      <c r="CJ751" s="17"/>
      <c r="CK751" s="17"/>
      <c r="CL751" s="17"/>
      <c r="CM751" s="17"/>
      <c r="CN751" s="17"/>
      <c r="CO751" s="17"/>
      <c r="CP751" s="17"/>
      <c r="CQ751" s="17"/>
      <c r="CR751" s="17"/>
      <c r="CS751" s="17"/>
      <c r="CT751" s="17"/>
      <c r="CU751" s="17"/>
      <c r="CV751" s="17"/>
      <c r="CW751" s="17"/>
      <c r="CX751" s="17"/>
      <c r="CY751" s="17"/>
      <c r="CZ751" s="17"/>
      <c r="DA751" s="17"/>
      <c r="DB751" s="17"/>
      <c r="DC751" s="17"/>
      <c r="DD751" s="17"/>
      <c r="DE751" s="17"/>
      <c r="DF751" s="17"/>
      <c r="DG751" s="17"/>
      <c r="DH751" s="17"/>
      <c r="DI751" s="17"/>
      <c r="DJ751" s="17"/>
      <c r="DK751" s="17"/>
      <c r="DL751" s="17"/>
      <c r="DM751" s="17"/>
      <c r="DN751" s="17"/>
      <c r="DO751" s="17"/>
      <c r="DP751" s="17"/>
      <c r="DQ751" s="17"/>
      <c r="DR751" s="17"/>
      <c r="DS751" s="17"/>
      <c r="DT751" s="17"/>
      <c r="DU751" s="17"/>
      <c r="DV751" s="17"/>
      <c r="DW751" s="17"/>
    </row>
    <row r="752" spans="1:127" ht="18" customHeight="1">
      <c r="A752" s="16"/>
      <c r="B752" s="16"/>
      <c r="C752" s="16"/>
      <c r="D752" s="16"/>
      <c r="E752" s="16"/>
      <c r="F752" s="16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  <c r="CR752" s="17"/>
      <c r="CS752" s="17"/>
      <c r="CT752" s="17"/>
      <c r="CU752" s="17"/>
      <c r="CV752" s="17"/>
      <c r="CW752" s="17"/>
      <c r="CX752" s="17"/>
      <c r="CY752" s="17"/>
      <c r="CZ752" s="17"/>
      <c r="DA752" s="17"/>
      <c r="DB752" s="17"/>
      <c r="DC752" s="17"/>
      <c r="DD752" s="17"/>
      <c r="DE752" s="17"/>
      <c r="DF752" s="17"/>
      <c r="DG752" s="17"/>
      <c r="DH752" s="17"/>
      <c r="DI752" s="17"/>
      <c r="DJ752" s="17"/>
      <c r="DK752" s="17"/>
      <c r="DL752" s="17"/>
      <c r="DM752" s="17"/>
      <c r="DN752" s="17"/>
      <c r="DO752" s="17"/>
      <c r="DP752" s="17"/>
      <c r="DQ752" s="17"/>
      <c r="DR752" s="17"/>
      <c r="DS752" s="17"/>
      <c r="DT752" s="17"/>
      <c r="DU752" s="17"/>
      <c r="DV752" s="17"/>
      <c r="DW752" s="17"/>
    </row>
    <row r="753" spans="1:127" ht="18" customHeight="1">
      <c r="A753" s="16"/>
      <c r="B753" s="16"/>
      <c r="C753" s="16"/>
      <c r="D753" s="16"/>
      <c r="E753" s="16"/>
      <c r="F753" s="16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  <c r="BK753" s="17"/>
      <c r="BL753" s="17"/>
      <c r="BM753" s="17"/>
      <c r="BN753" s="17"/>
      <c r="BO753" s="17"/>
      <c r="BP753" s="17"/>
      <c r="BQ753" s="17"/>
      <c r="BR753" s="17"/>
      <c r="BS753" s="17"/>
      <c r="BT753" s="17"/>
      <c r="BU753" s="17"/>
      <c r="BV753" s="17"/>
      <c r="BW753" s="17"/>
      <c r="BX753" s="17"/>
      <c r="BY753" s="17"/>
      <c r="BZ753" s="17"/>
      <c r="CA753" s="17"/>
      <c r="CB753" s="17"/>
      <c r="CC753" s="17"/>
      <c r="CD753" s="17"/>
      <c r="CE753" s="17"/>
      <c r="CF753" s="17"/>
      <c r="CG753" s="17"/>
      <c r="CH753" s="17"/>
      <c r="CI753" s="17"/>
      <c r="CJ753" s="17"/>
      <c r="CK753" s="17"/>
      <c r="CL753" s="17"/>
      <c r="CM753" s="17"/>
      <c r="CN753" s="17"/>
      <c r="CO753" s="17"/>
      <c r="CP753" s="17"/>
      <c r="CQ753" s="17"/>
      <c r="CR753" s="17"/>
      <c r="CS753" s="17"/>
      <c r="CT753" s="17"/>
      <c r="CU753" s="17"/>
      <c r="CV753" s="17"/>
      <c r="CW753" s="17"/>
      <c r="CX753" s="17"/>
      <c r="CY753" s="17"/>
      <c r="CZ753" s="17"/>
      <c r="DA753" s="17"/>
      <c r="DB753" s="17"/>
      <c r="DC753" s="17"/>
      <c r="DD753" s="17"/>
      <c r="DE753" s="17"/>
      <c r="DF753" s="17"/>
      <c r="DG753" s="17"/>
      <c r="DH753" s="17"/>
      <c r="DI753" s="17"/>
      <c r="DJ753" s="17"/>
      <c r="DK753" s="17"/>
      <c r="DL753" s="17"/>
      <c r="DM753" s="17"/>
      <c r="DN753" s="17"/>
      <c r="DO753" s="17"/>
      <c r="DP753" s="17"/>
      <c r="DQ753" s="17"/>
      <c r="DR753" s="17"/>
      <c r="DS753" s="17"/>
      <c r="DT753" s="17"/>
      <c r="DU753" s="17"/>
      <c r="DV753" s="17"/>
      <c r="DW753" s="17"/>
    </row>
    <row r="754" spans="1:127" ht="18" customHeight="1">
      <c r="A754" s="16"/>
      <c r="B754" s="16"/>
      <c r="C754" s="16"/>
      <c r="D754" s="16"/>
      <c r="E754" s="16"/>
      <c r="F754" s="16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  <c r="BK754" s="17"/>
      <c r="BL754" s="17"/>
      <c r="BM754" s="17"/>
      <c r="BN754" s="17"/>
      <c r="BO754" s="17"/>
      <c r="BP754" s="17"/>
      <c r="BQ754" s="17"/>
      <c r="BR754" s="17"/>
      <c r="BS754" s="17"/>
      <c r="BT754" s="17"/>
      <c r="BU754" s="17"/>
      <c r="BV754" s="17"/>
      <c r="BW754" s="17"/>
      <c r="BX754" s="17"/>
      <c r="BY754" s="17"/>
      <c r="BZ754" s="17"/>
      <c r="CA754" s="17"/>
      <c r="CB754" s="17"/>
      <c r="CC754" s="17"/>
      <c r="CD754" s="17"/>
      <c r="CE754" s="17"/>
      <c r="CF754" s="17"/>
      <c r="CG754" s="17"/>
      <c r="CH754" s="17"/>
      <c r="CI754" s="17"/>
      <c r="CJ754" s="17"/>
      <c r="CK754" s="17"/>
      <c r="CL754" s="17"/>
      <c r="CM754" s="17"/>
      <c r="CN754" s="17"/>
      <c r="CO754" s="17"/>
      <c r="CP754" s="17"/>
      <c r="CQ754" s="17"/>
      <c r="CR754" s="17"/>
      <c r="CS754" s="17"/>
      <c r="CT754" s="17"/>
      <c r="CU754" s="17"/>
      <c r="CV754" s="17"/>
      <c r="CW754" s="17"/>
      <c r="CX754" s="17"/>
      <c r="CY754" s="17"/>
      <c r="CZ754" s="17"/>
      <c r="DA754" s="17"/>
      <c r="DB754" s="17"/>
      <c r="DC754" s="17"/>
      <c r="DD754" s="17"/>
      <c r="DE754" s="17"/>
      <c r="DF754" s="17"/>
      <c r="DG754" s="17"/>
      <c r="DH754" s="17"/>
      <c r="DI754" s="17"/>
      <c r="DJ754" s="17"/>
      <c r="DK754" s="17"/>
      <c r="DL754" s="17"/>
      <c r="DM754" s="17"/>
      <c r="DN754" s="17"/>
      <c r="DO754" s="17"/>
      <c r="DP754" s="17"/>
      <c r="DQ754" s="17"/>
      <c r="DR754" s="17"/>
      <c r="DS754" s="17"/>
      <c r="DT754" s="17"/>
      <c r="DU754" s="17"/>
      <c r="DV754" s="17"/>
      <c r="DW754" s="17"/>
    </row>
    <row r="755" spans="1:127" ht="18" customHeight="1">
      <c r="A755" s="16"/>
      <c r="B755" s="16"/>
      <c r="C755" s="16"/>
      <c r="D755" s="16"/>
      <c r="E755" s="16"/>
      <c r="F755" s="16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  <c r="BK755" s="17"/>
      <c r="BL755" s="17"/>
      <c r="BM755" s="17"/>
      <c r="BN755" s="17"/>
      <c r="BO755" s="17"/>
      <c r="BP755" s="17"/>
      <c r="BQ755" s="17"/>
      <c r="BR755" s="17"/>
      <c r="BS755" s="17"/>
      <c r="BT755" s="17"/>
      <c r="BU755" s="17"/>
      <c r="BV755" s="17"/>
      <c r="BW755" s="17"/>
      <c r="BX755" s="17"/>
      <c r="BY755" s="17"/>
      <c r="BZ755" s="17"/>
      <c r="CA755" s="17"/>
      <c r="CB755" s="17"/>
      <c r="CC755" s="17"/>
      <c r="CD755" s="17"/>
      <c r="CE755" s="17"/>
      <c r="CF755" s="17"/>
      <c r="CG755" s="17"/>
      <c r="CH755" s="17"/>
      <c r="CI755" s="17"/>
      <c r="CJ755" s="17"/>
      <c r="CK755" s="17"/>
      <c r="CL755" s="17"/>
      <c r="CM755" s="17"/>
      <c r="CN755" s="17"/>
      <c r="CO755" s="17"/>
      <c r="CP755" s="17"/>
      <c r="CQ755" s="17"/>
      <c r="CR755" s="17"/>
      <c r="CS755" s="17"/>
      <c r="CT755" s="17"/>
      <c r="CU755" s="17"/>
      <c r="CV755" s="17"/>
      <c r="CW755" s="17"/>
      <c r="CX755" s="17"/>
      <c r="CY755" s="17"/>
      <c r="CZ755" s="17"/>
      <c r="DA755" s="17"/>
      <c r="DB755" s="17"/>
      <c r="DC755" s="17"/>
      <c r="DD755" s="17"/>
      <c r="DE755" s="17"/>
      <c r="DF755" s="17"/>
      <c r="DG755" s="17"/>
      <c r="DH755" s="17"/>
      <c r="DI755" s="17"/>
      <c r="DJ755" s="17"/>
      <c r="DK755" s="17"/>
      <c r="DL755" s="17"/>
      <c r="DM755" s="17"/>
      <c r="DN755" s="17"/>
      <c r="DO755" s="17"/>
      <c r="DP755" s="17"/>
      <c r="DQ755" s="17"/>
      <c r="DR755" s="17"/>
      <c r="DS755" s="17"/>
      <c r="DT755" s="17"/>
      <c r="DU755" s="17"/>
      <c r="DV755" s="17"/>
      <c r="DW755" s="17"/>
    </row>
    <row r="756" spans="1:127" ht="18" customHeight="1">
      <c r="A756" s="16"/>
      <c r="B756" s="16"/>
      <c r="C756" s="16"/>
      <c r="D756" s="16"/>
      <c r="E756" s="16"/>
      <c r="F756" s="16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  <c r="CR756" s="17"/>
      <c r="CS756" s="17"/>
      <c r="CT756" s="17"/>
      <c r="CU756" s="17"/>
      <c r="CV756" s="17"/>
      <c r="CW756" s="17"/>
      <c r="CX756" s="17"/>
      <c r="CY756" s="17"/>
      <c r="CZ756" s="17"/>
      <c r="DA756" s="17"/>
      <c r="DB756" s="17"/>
      <c r="DC756" s="17"/>
      <c r="DD756" s="17"/>
      <c r="DE756" s="17"/>
      <c r="DF756" s="17"/>
      <c r="DG756" s="17"/>
      <c r="DH756" s="17"/>
      <c r="DI756" s="17"/>
      <c r="DJ756" s="17"/>
      <c r="DK756" s="17"/>
      <c r="DL756" s="17"/>
      <c r="DM756" s="17"/>
      <c r="DN756" s="17"/>
      <c r="DO756" s="17"/>
      <c r="DP756" s="17"/>
      <c r="DQ756" s="17"/>
      <c r="DR756" s="17"/>
      <c r="DS756" s="17"/>
      <c r="DT756" s="17"/>
      <c r="DU756" s="17"/>
      <c r="DV756" s="17"/>
      <c r="DW756" s="17"/>
    </row>
    <row r="757" spans="1:127" ht="18" customHeight="1">
      <c r="A757" s="16"/>
      <c r="B757" s="16"/>
      <c r="C757" s="16"/>
      <c r="D757" s="16"/>
      <c r="E757" s="16"/>
      <c r="F757" s="16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  <c r="CR757" s="17"/>
      <c r="CS757" s="17"/>
      <c r="CT757" s="17"/>
      <c r="CU757" s="17"/>
      <c r="CV757" s="17"/>
      <c r="CW757" s="17"/>
      <c r="CX757" s="17"/>
      <c r="CY757" s="17"/>
      <c r="CZ757" s="17"/>
      <c r="DA757" s="17"/>
      <c r="DB757" s="17"/>
      <c r="DC757" s="17"/>
      <c r="DD757" s="17"/>
      <c r="DE757" s="17"/>
      <c r="DF757" s="17"/>
      <c r="DG757" s="17"/>
      <c r="DH757" s="17"/>
      <c r="DI757" s="17"/>
      <c r="DJ757" s="17"/>
      <c r="DK757" s="17"/>
      <c r="DL757" s="17"/>
      <c r="DM757" s="17"/>
      <c r="DN757" s="17"/>
      <c r="DO757" s="17"/>
      <c r="DP757" s="17"/>
      <c r="DQ757" s="17"/>
      <c r="DR757" s="17"/>
      <c r="DS757" s="17"/>
      <c r="DT757" s="17"/>
      <c r="DU757" s="17"/>
      <c r="DV757" s="17"/>
      <c r="DW757" s="17"/>
    </row>
    <row r="758" spans="1:127" ht="18" customHeight="1">
      <c r="A758" s="16"/>
      <c r="B758" s="16"/>
      <c r="C758" s="16"/>
      <c r="D758" s="16"/>
      <c r="E758" s="16"/>
      <c r="F758" s="16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  <c r="CR758" s="17"/>
      <c r="CS758" s="17"/>
      <c r="CT758" s="17"/>
      <c r="CU758" s="17"/>
      <c r="CV758" s="17"/>
      <c r="CW758" s="17"/>
      <c r="CX758" s="17"/>
      <c r="CY758" s="17"/>
      <c r="CZ758" s="17"/>
      <c r="DA758" s="17"/>
      <c r="DB758" s="17"/>
      <c r="DC758" s="17"/>
      <c r="DD758" s="17"/>
      <c r="DE758" s="17"/>
      <c r="DF758" s="17"/>
      <c r="DG758" s="17"/>
      <c r="DH758" s="17"/>
      <c r="DI758" s="17"/>
      <c r="DJ758" s="17"/>
      <c r="DK758" s="17"/>
      <c r="DL758" s="17"/>
      <c r="DM758" s="17"/>
      <c r="DN758" s="17"/>
      <c r="DO758" s="17"/>
      <c r="DP758" s="17"/>
      <c r="DQ758" s="17"/>
      <c r="DR758" s="17"/>
      <c r="DS758" s="17"/>
      <c r="DT758" s="17"/>
      <c r="DU758" s="17"/>
      <c r="DV758" s="17"/>
      <c r="DW758" s="17"/>
    </row>
    <row r="759" spans="1:127" ht="18" customHeight="1">
      <c r="A759" s="16"/>
      <c r="B759" s="16"/>
      <c r="C759" s="16"/>
      <c r="D759" s="16"/>
      <c r="E759" s="16"/>
      <c r="F759" s="16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  <c r="BK759" s="17"/>
      <c r="BL759" s="17"/>
      <c r="BM759" s="17"/>
      <c r="BN759" s="17"/>
      <c r="BO759" s="17"/>
      <c r="BP759" s="17"/>
      <c r="BQ759" s="17"/>
      <c r="BR759" s="17"/>
      <c r="BS759" s="17"/>
      <c r="BT759" s="17"/>
      <c r="BU759" s="17"/>
      <c r="BV759" s="17"/>
      <c r="BW759" s="17"/>
      <c r="BX759" s="17"/>
      <c r="BY759" s="17"/>
      <c r="BZ759" s="17"/>
      <c r="CA759" s="17"/>
      <c r="CB759" s="17"/>
      <c r="CC759" s="17"/>
      <c r="CD759" s="17"/>
      <c r="CE759" s="17"/>
      <c r="CF759" s="17"/>
      <c r="CG759" s="17"/>
      <c r="CH759" s="17"/>
      <c r="CI759" s="17"/>
      <c r="CJ759" s="17"/>
      <c r="CK759" s="17"/>
      <c r="CL759" s="17"/>
      <c r="CM759" s="17"/>
      <c r="CN759" s="17"/>
      <c r="CO759" s="17"/>
      <c r="CP759" s="17"/>
      <c r="CQ759" s="17"/>
      <c r="CR759" s="17"/>
      <c r="CS759" s="17"/>
      <c r="CT759" s="17"/>
      <c r="CU759" s="17"/>
      <c r="CV759" s="17"/>
      <c r="CW759" s="17"/>
      <c r="CX759" s="17"/>
      <c r="CY759" s="17"/>
      <c r="CZ759" s="17"/>
      <c r="DA759" s="17"/>
      <c r="DB759" s="17"/>
      <c r="DC759" s="17"/>
      <c r="DD759" s="17"/>
      <c r="DE759" s="17"/>
      <c r="DF759" s="17"/>
      <c r="DG759" s="17"/>
      <c r="DH759" s="17"/>
      <c r="DI759" s="17"/>
      <c r="DJ759" s="17"/>
      <c r="DK759" s="17"/>
      <c r="DL759" s="17"/>
      <c r="DM759" s="17"/>
      <c r="DN759" s="17"/>
      <c r="DO759" s="17"/>
      <c r="DP759" s="17"/>
      <c r="DQ759" s="17"/>
      <c r="DR759" s="17"/>
      <c r="DS759" s="17"/>
      <c r="DT759" s="17"/>
      <c r="DU759" s="17"/>
      <c r="DV759" s="17"/>
      <c r="DW759" s="17"/>
    </row>
    <row r="760" spans="1:127" ht="18" customHeight="1">
      <c r="A760" s="16"/>
      <c r="B760" s="16"/>
      <c r="C760" s="16"/>
      <c r="D760" s="16"/>
      <c r="E760" s="16"/>
      <c r="F760" s="16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  <c r="BK760" s="17"/>
      <c r="BL760" s="17"/>
      <c r="BM760" s="17"/>
      <c r="BN760" s="17"/>
      <c r="BO760" s="17"/>
      <c r="BP760" s="17"/>
      <c r="BQ760" s="17"/>
      <c r="BR760" s="17"/>
      <c r="BS760" s="17"/>
      <c r="BT760" s="17"/>
      <c r="BU760" s="17"/>
      <c r="BV760" s="17"/>
      <c r="BW760" s="17"/>
      <c r="BX760" s="17"/>
      <c r="BY760" s="17"/>
      <c r="BZ760" s="17"/>
      <c r="CA760" s="17"/>
      <c r="CB760" s="17"/>
      <c r="CC760" s="17"/>
      <c r="CD760" s="17"/>
      <c r="CE760" s="17"/>
      <c r="CF760" s="17"/>
      <c r="CG760" s="17"/>
      <c r="CH760" s="17"/>
      <c r="CI760" s="17"/>
      <c r="CJ760" s="17"/>
      <c r="CK760" s="17"/>
      <c r="CL760" s="17"/>
      <c r="CM760" s="17"/>
      <c r="CN760" s="17"/>
      <c r="CO760" s="17"/>
      <c r="CP760" s="17"/>
      <c r="CQ760" s="17"/>
      <c r="CR760" s="17"/>
      <c r="CS760" s="17"/>
      <c r="CT760" s="17"/>
      <c r="CU760" s="17"/>
      <c r="CV760" s="17"/>
      <c r="CW760" s="17"/>
      <c r="CX760" s="17"/>
      <c r="CY760" s="17"/>
      <c r="CZ760" s="17"/>
      <c r="DA760" s="17"/>
      <c r="DB760" s="17"/>
      <c r="DC760" s="17"/>
      <c r="DD760" s="17"/>
      <c r="DE760" s="17"/>
      <c r="DF760" s="17"/>
      <c r="DG760" s="17"/>
      <c r="DH760" s="17"/>
      <c r="DI760" s="17"/>
      <c r="DJ760" s="17"/>
      <c r="DK760" s="17"/>
      <c r="DL760" s="17"/>
      <c r="DM760" s="17"/>
      <c r="DN760" s="17"/>
      <c r="DO760" s="17"/>
      <c r="DP760" s="17"/>
      <c r="DQ760" s="17"/>
      <c r="DR760" s="17"/>
      <c r="DS760" s="17"/>
      <c r="DT760" s="17"/>
      <c r="DU760" s="17"/>
      <c r="DV760" s="17"/>
      <c r="DW760" s="17"/>
    </row>
    <row r="761" spans="1:127" ht="18" customHeight="1">
      <c r="A761" s="16"/>
      <c r="B761" s="16"/>
      <c r="C761" s="16"/>
      <c r="D761" s="16"/>
      <c r="E761" s="16"/>
      <c r="F761" s="16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  <c r="BK761" s="17"/>
      <c r="BL761" s="17"/>
      <c r="BM761" s="17"/>
      <c r="BN761" s="17"/>
      <c r="BO761" s="17"/>
      <c r="BP761" s="17"/>
      <c r="BQ761" s="17"/>
      <c r="BR761" s="17"/>
      <c r="BS761" s="17"/>
      <c r="BT761" s="17"/>
      <c r="BU761" s="17"/>
      <c r="BV761" s="17"/>
      <c r="BW761" s="17"/>
      <c r="BX761" s="17"/>
      <c r="BY761" s="17"/>
      <c r="BZ761" s="17"/>
      <c r="CA761" s="17"/>
      <c r="CB761" s="17"/>
      <c r="CC761" s="17"/>
      <c r="CD761" s="17"/>
      <c r="CE761" s="17"/>
      <c r="CF761" s="17"/>
      <c r="CG761" s="17"/>
      <c r="CH761" s="17"/>
      <c r="CI761" s="17"/>
      <c r="CJ761" s="17"/>
      <c r="CK761" s="17"/>
      <c r="CL761" s="17"/>
      <c r="CM761" s="17"/>
      <c r="CN761" s="17"/>
      <c r="CO761" s="17"/>
      <c r="CP761" s="17"/>
      <c r="CQ761" s="17"/>
      <c r="CR761" s="17"/>
      <c r="CS761" s="17"/>
      <c r="CT761" s="17"/>
      <c r="CU761" s="17"/>
      <c r="CV761" s="17"/>
      <c r="CW761" s="17"/>
      <c r="CX761" s="17"/>
      <c r="CY761" s="17"/>
      <c r="CZ761" s="17"/>
      <c r="DA761" s="17"/>
      <c r="DB761" s="17"/>
      <c r="DC761" s="17"/>
      <c r="DD761" s="17"/>
      <c r="DE761" s="17"/>
      <c r="DF761" s="17"/>
      <c r="DG761" s="17"/>
      <c r="DH761" s="17"/>
      <c r="DI761" s="17"/>
      <c r="DJ761" s="17"/>
      <c r="DK761" s="17"/>
      <c r="DL761" s="17"/>
      <c r="DM761" s="17"/>
      <c r="DN761" s="17"/>
      <c r="DO761" s="17"/>
      <c r="DP761" s="17"/>
      <c r="DQ761" s="17"/>
      <c r="DR761" s="17"/>
      <c r="DS761" s="17"/>
      <c r="DT761" s="17"/>
      <c r="DU761" s="17"/>
      <c r="DV761" s="17"/>
      <c r="DW761" s="17"/>
    </row>
    <row r="762" spans="1:127" ht="18" customHeight="1">
      <c r="A762" s="16"/>
      <c r="B762" s="16"/>
      <c r="C762" s="16"/>
      <c r="D762" s="16"/>
      <c r="E762" s="16"/>
      <c r="F762" s="16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  <c r="BK762" s="17"/>
      <c r="BL762" s="17"/>
      <c r="BM762" s="17"/>
      <c r="BN762" s="17"/>
      <c r="BO762" s="17"/>
      <c r="BP762" s="17"/>
      <c r="BQ762" s="17"/>
      <c r="BR762" s="17"/>
      <c r="BS762" s="17"/>
      <c r="BT762" s="17"/>
      <c r="BU762" s="17"/>
      <c r="BV762" s="17"/>
      <c r="BW762" s="17"/>
      <c r="BX762" s="17"/>
      <c r="BY762" s="17"/>
      <c r="BZ762" s="17"/>
      <c r="CA762" s="17"/>
      <c r="CB762" s="17"/>
      <c r="CC762" s="17"/>
      <c r="CD762" s="17"/>
      <c r="CE762" s="17"/>
      <c r="CF762" s="17"/>
      <c r="CG762" s="17"/>
      <c r="CH762" s="17"/>
      <c r="CI762" s="17"/>
      <c r="CJ762" s="17"/>
      <c r="CK762" s="17"/>
      <c r="CL762" s="17"/>
      <c r="CM762" s="17"/>
      <c r="CN762" s="17"/>
      <c r="CO762" s="17"/>
      <c r="CP762" s="17"/>
      <c r="CQ762" s="17"/>
      <c r="CR762" s="17"/>
      <c r="CS762" s="17"/>
      <c r="CT762" s="17"/>
      <c r="CU762" s="17"/>
      <c r="CV762" s="17"/>
      <c r="CW762" s="17"/>
      <c r="CX762" s="17"/>
      <c r="CY762" s="17"/>
      <c r="CZ762" s="17"/>
      <c r="DA762" s="17"/>
      <c r="DB762" s="17"/>
      <c r="DC762" s="17"/>
      <c r="DD762" s="17"/>
      <c r="DE762" s="17"/>
      <c r="DF762" s="17"/>
      <c r="DG762" s="17"/>
      <c r="DH762" s="17"/>
      <c r="DI762" s="17"/>
      <c r="DJ762" s="17"/>
      <c r="DK762" s="17"/>
      <c r="DL762" s="17"/>
      <c r="DM762" s="17"/>
      <c r="DN762" s="17"/>
      <c r="DO762" s="17"/>
      <c r="DP762" s="17"/>
      <c r="DQ762" s="17"/>
      <c r="DR762" s="17"/>
      <c r="DS762" s="17"/>
      <c r="DT762" s="17"/>
      <c r="DU762" s="17"/>
      <c r="DV762" s="17"/>
      <c r="DW762" s="17"/>
    </row>
    <row r="763" spans="1:127" ht="18" customHeight="1">
      <c r="A763" s="16"/>
      <c r="B763" s="16"/>
      <c r="C763" s="16"/>
      <c r="D763" s="16"/>
      <c r="E763" s="16"/>
      <c r="F763" s="16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  <c r="BK763" s="17"/>
      <c r="BL763" s="17"/>
      <c r="BM763" s="17"/>
      <c r="BN763" s="17"/>
      <c r="BO763" s="17"/>
      <c r="BP763" s="17"/>
      <c r="BQ763" s="17"/>
      <c r="BR763" s="17"/>
      <c r="BS763" s="17"/>
      <c r="BT763" s="17"/>
      <c r="BU763" s="17"/>
      <c r="BV763" s="17"/>
      <c r="BW763" s="17"/>
      <c r="BX763" s="17"/>
      <c r="BY763" s="17"/>
      <c r="BZ763" s="17"/>
      <c r="CA763" s="17"/>
      <c r="CB763" s="17"/>
      <c r="CC763" s="17"/>
      <c r="CD763" s="17"/>
      <c r="CE763" s="17"/>
      <c r="CF763" s="17"/>
      <c r="CG763" s="17"/>
      <c r="CH763" s="17"/>
      <c r="CI763" s="17"/>
      <c r="CJ763" s="17"/>
      <c r="CK763" s="17"/>
      <c r="CL763" s="17"/>
      <c r="CM763" s="17"/>
      <c r="CN763" s="17"/>
      <c r="CO763" s="17"/>
      <c r="CP763" s="17"/>
      <c r="CQ763" s="17"/>
      <c r="CR763" s="17"/>
      <c r="CS763" s="17"/>
      <c r="CT763" s="17"/>
      <c r="CU763" s="17"/>
      <c r="CV763" s="17"/>
      <c r="CW763" s="17"/>
      <c r="CX763" s="17"/>
      <c r="CY763" s="17"/>
      <c r="CZ763" s="17"/>
      <c r="DA763" s="17"/>
      <c r="DB763" s="17"/>
      <c r="DC763" s="17"/>
      <c r="DD763" s="17"/>
      <c r="DE763" s="17"/>
      <c r="DF763" s="17"/>
      <c r="DG763" s="17"/>
      <c r="DH763" s="17"/>
      <c r="DI763" s="17"/>
      <c r="DJ763" s="17"/>
      <c r="DK763" s="17"/>
      <c r="DL763" s="17"/>
      <c r="DM763" s="17"/>
      <c r="DN763" s="17"/>
      <c r="DO763" s="17"/>
      <c r="DP763" s="17"/>
      <c r="DQ763" s="17"/>
      <c r="DR763" s="17"/>
      <c r="DS763" s="17"/>
      <c r="DT763" s="17"/>
      <c r="DU763" s="17"/>
      <c r="DV763" s="17"/>
      <c r="DW763" s="17"/>
    </row>
    <row r="764" spans="1:127" ht="18" customHeight="1">
      <c r="A764" s="16"/>
      <c r="B764" s="16"/>
      <c r="C764" s="16"/>
      <c r="D764" s="16"/>
      <c r="E764" s="16"/>
      <c r="F764" s="16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  <c r="BK764" s="17"/>
      <c r="BL764" s="17"/>
      <c r="BM764" s="17"/>
      <c r="BN764" s="17"/>
      <c r="BO764" s="17"/>
      <c r="BP764" s="17"/>
      <c r="BQ764" s="17"/>
      <c r="BR764" s="17"/>
      <c r="BS764" s="17"/>
      <c r="BT764" s="17"/>
      <c r="BU764" s="17"/>
      <c r="BV764" s="17"/>
      <c r="BW764" s="17"/>
      <c r="BX764" s="17"/>
      <c r="BY764" s="17"/>
      <c r="BZ764" s="17"/>
      <c r="CA764" s="17"/>
      <c r="CB764" s="17"/>
      <c r="CC764" s="17"/>
      <c r="CD764" s="17"/>
      <c r="CE764" s="17"/>
      <c r="CF764" s="17"/>
      <c r="CG764" s="17"/>
      <c r="CH764" s="17"/>
      <c r="CI764" s="17"/>
      <c r="CJ764" s="17"/>
      <c r="CK764" s="17"/>
      <c r="CL764" s="17"/>
      <c r="CM764" s="17"/>
      <c r="CN764" s="17"/>
      <c r="CO764" s="17"/>
      <c r="CP764" s="17"/>
      <c r="CQ764" s="17"/>
      <c r="CR764" s="17"/>
      <c r="CS764" s="17"/>
      <c r="CT764" s="17"/>
      <c r="CU764" s="17"/>
      <c r="CV764" s="17"/>
      <c r="CW764" s="17"/>
      <c r="CX764" s="17"/>
      <c r="CY764" s="17"/>
      <c r="CZ764" s="17"/>
      <c r="DA764" s="17"/>
      <c r="DB764" s="17"/>
      <c r="DC764" s="17"/>
      <c r="DD764" s="17"/>
      <c r="DE764" s="17"/>
      <c r="DF764" s="17"/>
      <c r="DG764" s="17"/>
      <c r="DH764" s="17"/>
      <c r="DI764" s="17"/>
      <c r="DJ764" s="17"/>
      <c r="DK764" s="17"/>
      <c r="DL764" s="17"/>
      <c r="DM764" s="17"/>
      <c r="DN764" s="17"/>
      <c r="DO764" s="17"/>
      <c r="DP764" s="17"/>
      <c r="DQ764" s="17"/>
      <c r="DR764" s="17"/>
      <c r="DS764" s="17"/>
      <c r="DT764" s="17"/>
      <c r="DU764" s="17"/>
      <c r="DV764" s="17"/>
      <c r="DW764" s="17"/>
    </row>
    <row r="765" spans="1:127" ht="18" customHeight="1">
      <c r="A765" s="16"/>
      <c r="B765" s="16"/>
      <c r="C765" s="16"/>
      <c r="D765" s="16"/>
      <c r="E765" s="16"/>
      <c r="F765" s="16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  <c r="BK765" s="17"/>
      <c r="BL765" s="17"/>
      <c r="BM765" s="17"/>
      <c r="BN765" s="17"/>
      <c r="BO765" s="17"/>
      <c r="BP765" s="17"/>
      <c r="BQ765" s="17"/>
      <c r="BR765" s="17"/>
      <c r="BS765" s="17"/>
      <c r="BT765" s="17"/>
      <c r="BU765" s="17"/>
      <c r="BV765" s="17"/>
      <c r="BW765" s="17"/>
      <c r="BX765" s="17"/>
      <c r="BY765" s="17"/>
      <c r="BZ765" s="17"/>
      <c r="CA765" s="17"/>
      <c r="CB765" s="17"/>
      <c r="CC765" s="17"/>
      <c r="CD765" s="17"/>
      <c r="CE765" s="17"/>
      <c r="CF765" s="17"/>
      <c r="CG765" s="17"/>
      <c r="CH765" s="17"/>
      <c r="CI765" s="17"/>
      <c r="CJ765" s="17"/>
      <c r="CK765" s="17"/>
      <c r="CL765" s="17"/>
      <c r="CM765" s="17"/>
      <c r="CN765" s="17"/>
      <c r="CO765" s="17"/>
      <c r="CP765" s="17"/>
      <c r="CQ765" s="17"/>
      <c r="CR765" s="17"/>
      <c r="CS765" s="17"/>
      <c r="CT765" s="17"/>
      <c r="CU765" s="17"/>
      <c r="CV765" s="17"/>
      <c r="CW765" s="17"/>
      <c r="CX765" s="17"/>
      <c r="CY765" s="17"/>
      <c r="CZ765" s="17"/>
      <c r="DA765" s="17"/>
      <c r="DB765" s="17"/>
      <c r="DC765" s="17"/>
      <c r="DD765" s="17"/>
      <c r="DE765" s="17"/>
      <c r="DF765" s="17"/>
      <c r="DG765" s="17"/>
      <c r="DH765" s="17"/>
      <c r="DI765" s="17"/>
      <c r="DJ765" s="17"/>
      <c r="DK765" s="17"/>
      <c r="DL765" s="17"/>
      <c r="DM765" s="17"/>
      <c r="DN765" s="17"/>
      <c r="DO765" s="17"/>
      <c r="DP765" s="17"/>
      <c r="DQ765" s="17"/>
      <c r="DR765" s="17"/>
      <c r="DS765" s="17"/>
      <c r="DT765" s="17"/>
      <c r="DU765" s="17"/>
      <c r="DV765" s="17"/>
      <c r="DW765" s="17"/>
    </row>
    <row r="766" spans="1:127" ht="18" customHeight="1">
      <c r="A766" s="16"/>
      <c r="B766" s="16"/>
      <c r="C766" s="16"/>
      <c r="D766" s="16"/>
      <c r="E766" s="16"/>
      <c r="F766" s="16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  <c r="BK766" s="17"/>
      <c r="BL766" s="17"/>
      <c r="BM766" s="17"/>
      <c r="BN766" s="17"/>
      <c r="BO766" s="17"/>
      <c r="BP766" s="17"/>
      <c r="BQ766" s="17"/>
      <c r="BR766" s="17"/>
      <c r="BS766" s="17"/>
      <c r="BT766" s="17"/>
      <c r="BU766" s="17"/>
      <c r="BV766" s="17"/>
      <c r="BW766" s="17"/>
      <c r="BX766" s="17"/>
      <c r="BY766" s="17"/>
      <c r="BZ766" s="17"/>
      <c r="CA766" s="17"/>
      <c r="CB766" s="17"/>
      <c r="CC766" s="17"/>
      <c r="CD766" s="17"/>
      <c r="CE766" s="17"/>
      <c r="CF766" s="17"/>
      <c r="CG766" s="17"/>
      <c r="CH766" s="17"/>
      <c r="CI766" s="17"/>
      <c r="CJ766" s="17"/>
      <c r="CK766" s="17"/>
      <c r="CL766" s="17"/>
      <c r="CM766" s="17"/>
      <c r="CN766" s="17"/>
      <c r="CO766" s="17"/>
      <c r="CP766" s="17"/>
      <c r="CQ766" s="17"/>
      <c r="CR766" s="17"/>
      <c r="CS766" s="17"/>
      <c r="CT766" s="17"/>
      <c r="CU766" s="17"/>
      <c r="CV766" s="17"/>
      <c r="CW766" s="17"/>
      <c r="CX766" s="17"/>
      <c r="CY766" s="17"/>
      <c r="CZ766" s="17"/>
      <c r="DA766" s="17"/>
      <c r="DB766" s="17"/>
      <c r="DC766" s="17"/>
      <c r="DD766" s="17"/>
      <c r="DE766" s="17"/>
      <c r="DF766" s="17"/>
      <c r="DG766" s="17"/>
      <c r="DH766" s="17"/>
      <c r="DI766" s="17"/>
      <c r="DJ766" s="17"/>
      <c r="DK766" s="17"/>
      <c r="DL766" s="17"/>
      <c r="DM766" s="17"/>
      <c r="DN766" s="17"/>
      <c r="DO766" s="17"/>
      <c r="DP766" s="17"/>
      <c r="DQ766" s="17"/>
      <c r="DR766" s="17"/>
      <c r="DS766" s="17"/>
      <c r="DT766" s="17"/>
      <c r="DU766" s="17"/>
      <c r="DV766" s="17"/>
      <c r="DW766" s="17"/>
    </row>
    <row r="767" spans="1:127" ht="18" customHeight="1">
      <c r="A767" s="16"/>
      <c r="B767" s="16"/>
      <c r="C767" s="16"/>
      <c r="D767" s="16"/>
      <c r="E767" s="16"/>
      <c r="F767" s="16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  <c r="BK767" s="17"/>
      <c r="BL767" s="17"/>
      <c r="BM767" s="17"/>
      <c r="BN767" s="17"/>
      <c r="BO767" s="17"/>
      <c r="BP767" s="17"/>
      <c r="BQ767" s="17"/>
      <c r="BR767" s="17"/>
      <c r="BS767" s="17"/>
      <c r="BT767" s="17"/>
      <c r="BU767" s="17"/>
      <c r="BV767" s="17"/>
      <c r="BW767" s="17"/>
      <c r="BX767" s="17"/>
      <c r="BY767" s="17"/>
      <c r="BZ767" s="17"/>
      <c r="CA767" s="17"/>
      <c r="CB767" s="17"/>
      <c r="CC767" s="17"/>
      <c r="CD767" s="17"/>
      <c r="CE767" s="17"/>
      <c r="CF767" s="17"/>
      <c r="CG767" s="17"/>
      <c r="CH767" s="17"/>
      <c r="CI767" s="17"/>
      <c r="CJ767" s="17"/>
      <c r="CK767" s="17"/>
      <c r="CL767" s="17"/>
      <c r="CM767" s="17"/>
      <c r="CN767" s="17"/>
      <c r="CO767" s="17"/>
      <c r="CP767" s="17"/>
      <c r="CQ767" s="17"/>
      <c r="CR767" s="17"/>
      <c r="CS767" s="17"/>
      <c r="CT767" s="17"/>
      <c r="CU767" s="17"/>
      <c r="CV767" s="17"/>
      <c r="CW767" s="17"/>
      <c r="CX767" s="17"/>
      <c r="CY767" s="17"/>
      <c r="CZ767" s="17"/>
      <c r="DA767" s="17"/>
      <c r="DB767" s="17"/>
      <c r="DC767" s="17"/>
      <c r="DD767" s="17"/>
      <c r="DE767" s="17"/>
      <c r="DF767" s="17"/>
      <c r="DG767" s="17"/>
      <c r="DH767" s="17"/>
      <c r="DI767" s="17"/>
      <c r="DJ767" s="17"/>
      <c r="DK767" s="17"/>
      <c r="DL767" s="17"/>
      <c r="DM767" s="17"/>
      <c r="DN767" s="17"/>
      <c r="DO767" s="17"/>
      <c r="DP767" s="17"/>
      <c r="DQ767" s="17"/>
      <c r="DR767" s="17"/>
      <c r="DS767" s="17"/>
      <c r="DT767" s="17"/>
      <c r="DU767" s="17"/>
      <c r="DV767" s="17"/>
      <c r="DW767" s="17"/>
    </row>
    <row r="768" spans="1:127" ht="18" customHeight="1">
      <c r="A768" s="16"/>
      <c r="B768" s="16"/>
      <c r="C768" s="16"/>
      <c r="D768" s="16"/>
      <c r="E768" s="16"/>
      <c r="F768" s="16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  <c r="BK768" s="17"/>
      <c r="BL768" s="17"/>
      <c r="BM768" s="17"/>
      <c r="BN768" s="17"/>
      <c r="BO768" s="17"/>
      <c r="BP768" s="17"/>
      <c r="BQ768" s="17"/>
      <c r="BR768" s="17"/>
      <c r="BS768" s="17"/>
      <c r="BT768" s="17"/>
      <c r="BU768" s="17"/>
      <c r="BV768" s="17"/>
      <c r="BW768" s="17"/>
      <c r="BX768" s="17"/>
      <c r="BY768" s="17"/>
      <c r="BZ768" s="17"/>
      <c r="CA768" s="17"/>
      <c r="CB768" s="17"/>
      <c r="CC768" s="17"/>
      <c r="CD768" s="17"/>
      <c r="CE768" s="17"/>
      <c r="CF768" s="17"/>
      <c r="CG768" s="17"/>
      <c r="CH768" s="17"/>
      <c r="CI768" s="17"/>
      <c r="CJ768" s="17"/>
      <c r="CK768" s="17"/>
      <c r="CL768" s="17"/>
      <c r="CM768" s="17"/>
      <c r="CN768" s="17"/>
      <c r="CO768" s="17"/>
      <c r="CP768" s="17"/>
      <c r="CQ768" s="17"/>
      <c r="CR768" s="17"/>
      <c r="CS768" s="17"/>
      <c r="CT768" s="17"/>
      <c r="CU768" s="17"/>
      <c r="CV768" s="17"/>
      <c r="CW768" s="17"/>
      <c r="CX768" s="17"/>
      <c r="CY768" s="17"/>
      <c r="CZ768" s="17"/>
      <c r="DA768" s="17"/>
      <c r="DB768" s="17"/>
      <c r="DC768" s="17"/>
      <c r="DD768" s="17"/>
      <c r="DE768" s="17"/>
      <c r="DF768" s="17"/>
      <c r="DG768" s="17"/>
      <c r="DH768" s="17"/>
      <c r="DI768" s="17"/>
      <c r="DJ768" s="17"/>
      <c r="DK768" s="17"/>
      <c r="DL768" s="17"/>
      <c r="DM768" s="17"/>
      <c r="DN768" s="17"/>
      <c r="DO768" s="17"/>
      <c r="DP768" s="17"/>
      <c r="DQ768" s="17"/>
      <c r="DR768" s="17"/>
      <c r="DS768" s="17"/>
      <c r="DT768" s="17"/>
      <c r="DU768" s="17"/>
      <c r="DV768" s="17"/>
      <c r="DW768" s="17"/>
    </row>
    <row r="769" spans="1:127" ht="18" customHeight="1">
      <c r="A769" s="16"/>
      <c r="B769" s="16"/>
      <c r="C769" s="16"/>
      <c r="D769" s="16"/>
      <c r="E769" s="16"/>
      <c r="F769" s="16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  <c r="CR769" s="17"/>
      <c r="CS769" s="17"/>
      <c r="CT769" s="17"/>
      <c r="CU769" s="17"/>
      <c r="CV769" s="17"/>
      <c r="CW769" s="17"/>
      <c r="CX769" s="17"/>
      <c r="CY769" s="17"/>
      <c r="CZ769" s="17"/>
      <c r="DA769" s="17"/>
      <c r="DB769" s="17"/>
      <c r="DC769" s="17"/>
      <c r="DD769" s="17"/>
      <c r="DE769" s="17"/>
      <c r="DF769" s="17"/>
      <c r="DG769" s="17"/>
      <c r="DH769" s="17"/>
      <c r="DI769" s="17"/>
      <c r="DJ769" s="17"/>
      <c r="DK769" s="17"/>
      <c r="DL769" s="17"/>
      <c r="DM769" s="17"/>
      <c r="DN769" s="17"/>
      <c r="DO769" s="17"/>
      <c r="DP769" s="17"/>
      <c r="DQ769" s="17"/>
      <c r="DR769" s="17"/>
      <c r="DS769" s="17"/>
      <c r="DT769" s="17"/>
      <c r="DU769" s="17"/>
      <c r="DV769" s="17"/>
      <c r="DW769" s="17"/>
    </row>
    <row r="770" spans="1:127" ht="18" customHeight="1">
      <c r="A770" s="16"/>
      <c r="B770" s="16"/>
      <c r="C770" s="16"/>
      <c r="D770" s="16"/>
      <c r="E770" s="16"/>
      <c r="F770" s="16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  <c r="BK770" s="17"/>
      <c r="BL770" s="17"/>
      <c r="BM770" s="17"/>
      <c r="BN770" s="17"/>
      <c r="BO770" s="17"/>
      <c r="BP770" s="17"/>
      <c r="BQ770" s="17"/>
      <c r="BR770" s="17"/>
      <c r="BS770" s="17"/>
      <c r="BT770" s="17"/>
      <c r="BU770" s="17"/>
      <c r="BV770" s="17"/>
      <c r="BW770" s="17"/>
      <c r="BX770" s="17"/>
      <c r="BY770" s="17"/>
      <c r="BZ770" s="17"/>
      <c r="CA770" s="17"/>
      <c r="CB770" s="17"/>
      <c r="CC770" s="17"/>
      <c r="CD770" s="17"/>
      <c r="CE770" s="17"/>
      <c r="CF770" s="17"/>
      <c r="CG770" s="17"/>
      <c r="CH770" s="17"/>
      <c r="CI770" s="17"/>
      <c r="CJ770" s="17"/>
      <c r="CK770" s="17"/>
      <c r="CL770" s="17"/>
      <c r="CM770" s="17"/>
      <c r="CN770" s="17"/>
      <c r="CO770" s="17"/>
      <c r="CP770" s="17"/>
      <c r="CQ770" s="17"/>
      <c r="CR770" s="17"/>
      <c r="CS770" s="17"/>
      <c r="CT770" s="17"/>
      <c r="CU770" s="17"/>
      <c r="CV770" s="17"/>
      <c r="CW770" s="17"/>
      <c r="CX770" s="17"/>
      <c r="CY770" s="17"/>
      <c r="CZ770" s="17"/>
      <c r="DA770" s="17"/>
      <c r="DB770" s="17"/>
      <c r="DC770" s="17"/>
      <c r="DD770" s="17"/>
      <c r="DE770" s="17"/>
      <c r="DF770" s="17"/>
      <c r="DG770" s="17"/>
      <c r="DH770" s="17"/>
      <c r="DI770" s="17"/>
      <c r="DJ770" s="17"/>
      <c r="DK770" s="17"/>
      <c r="DL770" s="17"/>
      <c r="DM770" s="17"/>
      <c r="DN770" s="17"/>
      <c r="DO770" s="17"/>
      <c r="DP770" s="17"/>
      <c r="DQ770" s="17"/>
      <c r="DR770" s="17"/>
      <c r="DS770" s="17"/>
      <c r="DT770" s="17"/>
      <c r="DU770" s="17"/>
      <c r="DV770" s="17"/>
      <c r="DW770" s="17"/>
    </row>
    <row r="771" spans="1:127" ht="18" customHeight="1">
      <c r="A771" s="16"/>
      <c r="B771" s="16"/>
      <c r="C771" s="16"/>
      <c r="D771" s="16"/>
      <c r="E771" s="16"/>
      <c r="F771" s="16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  <c r="CR771" s="17"/>
      <c r="CS771" s="17"/>
      <c r="CT771" s="17"/>
      <c r="CU771" s="17"/>
      <c r="CV771" s="17"/>
      <c r="CW771" s="17"/>
      <c r="CX771" s="17"/>
      <c r="CY771" s="17"/>
      <c r="CZ771" s="17"/>
      <c r="DA771" s="17"/>
      <c r="DB771" s="17"/>
      <c r="DC771" s="17"/>
      <c r="DD771" s="17"/>
      <c r="DE771" s="17"/>
      <c r="DF771" s="17"/>
      <c r="DG771" s="17"/>
      <c r="DH771" s="17"/>
      <c r="DI771" s="17"/>
      <c r="DJ771" s="17"/>
      <c r="DK771" s="17"/>
      <c r="DL771" s="17"/>
      <c r="DM771" s="17"/>
      <c r="DN771" s="17"/>
      <c r="DO771" s="17"/>
      <c r="DP771" s="17"/>
      <c r="DQ771" s="17"/>
      <c r="DR771" s="17"/>
      <c r="DS771" s="17"/>
      <c r="DT771" s="17"/>
      <c r="DU771" s="17"/>
      <c r="DV771" s="17"/>
      <c r="DW771" s="17"/>
    </row>
    <row r="772" spans="1:127" ht="18" customHeight="1">
      <c r="A772" s="16"/>
      <c r="B772" s="16"/>
      <c r="C772" s="16"/>
      <c r="D772" s="16"/>
      <c r="E772" s="16"/>
      <c r="F772" s="16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  <c r="BK772" s="17"/>
      <c r="BL772" s="17"/>
      <c r="BM772" s="17"/>
      <c r="BN772" s="17"/>
      <c r="BO772" s="17"/>
      <c r="BP772" s="17"/>
      <c r="BQ772" s="17"/>
      <c r="BR772" s="17"/>
      <c r="BS772" s="17"/>
      <c r="BT772" s="17"/>
      <c r="BU772" s="17"/>
      <c r="BV772" s="17"/>
      <c r="BW772" s="17"/>
      <c r="BX772" s="17"/>
      <c r="BY772" s="17"/>
      <c r="BZ772" s="17"/>
      <c r="CA772" s="17"/>
      <c r="CB772" s="17"/>
      <c r="CC772" s="17"/>
      <c r="CD772" s="17"/>
      <c r="CE772" s="17"/>
      <c r="CF772" s="17"/>
      <c r="CG772" s="17"/>
      <c r="CH772" s="17"/>
      <c r="CI772" s="17"/>
      <c r="CJ772" s="17"/>
      <c r="CK772" s="17"/>
      <c r="CL772" s="17"/>
      <c r="CM772" s="17"/>
      <c r="CN772" s="17"/>
      <c r="CO772" s="17"/>
      <c r="CP772" s="17"/>
      <c r="CQ772" s="17"/>
      <c r="CR772" s="17"/>
      <c r="CS772" s="17"/>
      <c r="CT772" s="17"/>
      <c r="CU772" s="17"/>
      <c r="CV772" s="17"/>
      <c r="CW772" s="17"/>
      <c r="CX772" s="17"/>
      <c r="CY772" s="17"/>
      <c r="CZ772" s="17"/>
      <c r="DA772" s="17"/>
      <c r="DB772" s="17"/>
      <c r="DC772" s="17"/>
      <c r="DD772" s="17"/>
      <c r="DE772" s="17"/>
      <c r="DF772" s="17"/>
      <c r="DG772" s="17"/>
      <c r="DH772" s="17"/>
      <c r="DI772" s="17"/>
      <c r="DJ772" s="17"/>
      <c r="DK772" s="17"/>
      <c r="DL772" s="17"/>
      <c r="DM772" s="17"/>
      <c r="DN772" s="17"/>
      <c r="DO772" s="17"/>
      <c r="DP772" s="17"/>
      <c r="DQ772" s="17"/>
      <c r="DR772" s="17"/>
      <c r="DS772" s="17"/>
      <c r="DT772" s="17"/>
      <c r="DU772" s="17"/>
      <c r="DV772" s="17"/>
      <c r="DW772" s="17"/>
    </row>
    <row r="773" spans="1:127" ht="18" customHeight="1">
      <c r="A773" s="16"/>
      <c r="B773" s="16"/>
      <c r="C773" s="16"/>
      <c r="D773" s="16"/>
      <c r="E773" s="16"/>
      <c r="F773" s="16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  <c r="BK773" s="17"/>
      <c r="BL773" s="17"/>
      <c r="BM773" s="17"/>
      <c r="BN773" s="17"/>
      <c r="BO773" s="17"/>
      <c r="BP773" s="17"/>
      <c r="BQ773" s="17"/>
      <c r="BR773" s="17"/>
      <c r="BS773" s="17"/>
      <c r="BT773" s="17"/>
      <c r="BU773" s="17"/>
      <c r="BV773" s="17"/>
      <c r="BW773" s="17"/>
      <c r="BX773" s="17"/>
      <c r="BY773" s="17"/>
      <c r="BZ773" s="17"/>
      <c r="CA773" s="17"/>
      <c r="CB773" s="17"/>
      <c r="CC773" s="17"/>
      <c r="CD773" s="17"/>
      <c r="CE773" s="17"/>
      <c r="CF773" s="17"/>
      <c r="CG773" s="17"/>
      <c r="CH773" s="17"/>
      <c r="CI773" s="17"/>
      <c r="CJ773" s="17"/>
      <c r="CK773" s="17"/>
      <c r="CL773" s="17"/>
      <c r="CM773" s="17"/>
      <c r="CN773" s="17"/>
      <c r="CO773" s="17"/>
      <c r="CP773" s="17"/>
      <c r="CQ773" s="17"/>
      <c r="CR773" s="17"/>
      <c r="CS773" s="17"/>
      <c r="CT773" s="17"/>
      <c r="CU773" s="17"/>
      <c r="CV773" s="17"/>
      <c r="CW773" s="17"/>
      <c r="CX773" s="17"/>
      <c r="CY773" s="17"/>
      <c r="CZ773" s="17"/>
      <c r="DA773" s="17"/>
      <c r="DB773" s="17"/>
      <c r="DC773" s="17"/>
      <c r="DD773" s="17"/>
      <c r="DE773" s="17"/>
      <c r="DF773" s="17"/>
      <c r="DG773" s="17"/>
      <c r="DH773" s="17"/>
      <c r="DI773" s="17"/>
      <c r="DJ773" s="17"/>
      <c r="DK773" s="17"/>
      <c r="DL773" s="17"/>
      <c r="DM773" s="17"/>
      <c r="DN773" s="17"/>
      <c r="DO773" s="17"/>
      <c r="DP773" s="17"/>
      <c r="DQ773" s="17"/>
      <c r="DR773" s="17"/>
      <c r="DS773" s="17"/>
      <c r="DT773" s="17"/>
      <c r="DU773" s="17"/>
      <c r="DV773" s="17"/>
      <c r="DW773" s="17"/>
    </row>
    <row r="774" spans="1:127" ht="18" customHeight="1">
      <c r="A774" s="16"/>
      <c r="B774" s="16"/>
      <c r="C774" s="16"/>
      <c r="D774" s="16"/>
      <c r="E774" s="16"/>
      <c r="F774" s="16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  <c r="CR774" s="17"/>
      <c r="CS774" s="17"/>
      <c r="CT774" s="17"/>
      <c r="CU774" s="17"/>
      <c r="CV774" s="17"/>
      <c r="CW774" s="17"/>
      <c r="CX774" s="17"/>
      <c r="CY774" s="17"/>
      <c r="CZ774" s="17"/>
      <c r="DA774" s="17"/>
      <c r="DB774" s="17"/>
      <c r="DC774" s="17"/>
      <c r="DD774" s="17"/>
      <c r="DE774" s="17"/>
      <c r="DF774" s="17"/>
      <c r="DG774" s="17"/>
      <c r="DH774" s="17"/>
      <c r="DI774" s="17"/>
      <c r="DJ774" s="17"/>
      <c r="DK774" s="17"/>
      <c r="DL774" s="17"/>
      <c r="DM774" s="17"/>
      <c r="DN774" s="17"/>
      <c r="DO774" s="17"/>
      <c r="DP774" s="17"/>
      <c r="DQ774" s="17"/>
      <c r="DR774" s="17"/>
      <c r="DS774" s="17"/>
      <c r="DT774" s="17"/>
      <c r="DU774" s="17"/>
      <c r="DV774" s="17"/>
      <c r="DW774" s="17"/>
    </row>
    <row r="775" spans="1:127" ht="18" customHeight="1">
      <c r="A775" s="16"/>
      <c r="B775" s="16"/>
      <c r="C775" s="16"/>
      <c r="D775" s="16"/>
      <c r="E775" s="16"/>
      <c r="F775" s="16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  <c r="BK775" s="17"/>
      <c r="BL775" s="17"/>
      <c r="BM775" s="17"/>
      <c r="BN775" s="17"/>
      <c r="BO775" s="17"/>
      <c r="BP775" s="17"/>
      <c r="BQ775" s="17"/>
      <c r="BR775" s="17"/>
      <c r="BS775" s="17"/>
      <c r="BT775" s="17"/>
      <c r="BU775" s="17"/>
      <c r="BV775" s="17"/>
      <c r="BW775" s="17"/>
      <c r="BX775" s="17"/>
      <c r="BY775" s="17"/>
      <c r="BZ775" s="17"/>
      <c r="CA775" s="17"/>
      <c r="CB775" s="17"/>
      <c r="CC775" s="17"/>
      <c r="CD775" s="17"/>
      <c r="CE775" s="17"/>
      <c r="CF775" s="17"/>
      <c r="CG775" s="17"/>
      <c r="CH775" s="17"/>
      <c r="CI775" s="17"/>
      <c r="CJ775" s="17"/>
      <c r="CK775" s="17"/>
      <c r="CL775" s="17"/>
      <c r="CM775" s="17"/>
      <c r="CN775" s="17"/>
      <c r="CO775" s="17"/>
      <c r="CP775" s="17"/>
      <c r="CQ775" s="17"/>
      <c r="CR775" s="17"/>
      <c r="CS775" s="17"/>
      <c r="CT775" s="17"/>
      <c r="CU775" s="17"/>
      <c r="CV775" s="17"/>
      <c r="CW775" s="17"/>
      <c r="CX775" s="17"/>
      <c r="CY775" s="17"/>
      <c r="CZ775" s="17"/>
      <c r="DA775" s="17"/>
      <c r="DB775" s="17"/>
      <c r="DC775" s="17"/>
      <c r="DD775" s="17"/>
      <c r="DE775" s="17"/>
      <c r="DF775" s="17"/>
      <c r="DG775" s="17"/>
      <c r="DH775" s="17"/>
      <c r="DI775" s="17"/>
      <c r="DJ775" s="17"/>
      <c r="DK775" s="17"/>
      <c r="DL775" s="17"/>
      <c r="DM775" s="17"/>
      <c r="DN775" s="17"/>
      <c r="DO775" s="17"/>
      <c r="DP775" s="17"/>
      <c r="DQ775" s="17"/>
      <c r="DR775" s="17"/>
      <c r="DS775" s="17"/>
      <c r="DT775" s="17"/>
      <c r="DU775" s="17"/>
      <c r="DV775" s="17"/>
      <c r="DW775" s="17"/>
    </row>
    <row r="776" spans="1:127" ht="18" customHeight="1">
      <c r="A776" s="16"/>
      <c r="B776" s="16"/>
      <c r="C776" s="16"/>
      <c r="D776" s="16"/>
      <c r="E776" s="16"/>
      <c r="F776" s="16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  <c r="CR776" s="17"/>
      <c r="CS776" s="17"/>
      <c r="CT776" s="17"/>
      <c r="CU776" s="17"/>
      <c r="CV776" s="17"/>
      <c r="CW776" s="17"/>
      <c r="CX776" s="17"/>
      <c r="CY776" s="17"/>
      <c r="CZ776" s="17"/>
      <c r="DA776" s="17"/>
      <c r="DB776" s="17"/>
      <c r="DC776" s="17"/>
      <c r="DD776" s="17"/>
      <c r="DE776" s="17"/>
      <c r="DF776" s="17"/>
      <c r="DG776" s="17"/>
      <c r="DH776" s="17"/>
      <c r="DI776" s="17"/>
      <c r="DJ776" s="17"/>
      <c r="DK776" s="17"/>
      <c r="DL776" s="17"/>
      <c r="DM776" s="17"/>
      <c r="DN776" s="17"/>
      <c r="DO776" s="17"/>
      <c r="DP776" s="17"/>
      <c r="DQ776" s="17"/>
      <c r="DR776" s="17"/>
      <c r="DS776" s="17"/>
      <c r="DT776" s="17"/>
      <c r="DU776" s="17"/>
      <c r="DV776" s="17"/>
      <c r="DW776" s="17"/>
    </row>
    <row r="777" spans="1:127" ht="18" customHeight="1">
      <c r="A777" s="16"/>
      <c r="B777" s="16"/>
      <c r="C777" s="16"/>
      <c r="D777" s="16"/>
      <c r="E777" s="16"/>
      <c r="F777" s="16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  <c r="BK777" s="17"/>
      <c r="BL777" s="17"/>
      <c r="BM777" s="17"/>
      <c r="BN777" s="17"/>
      <c r="BO777" s="17"/>
      <c r="BP777" s="17"/>
      <c r="BQ777" s="17"/>
      <c r="BR777" s="17"/>
      <c r="BS777" s="17"/>
      <c r="BT777" s="17"/>
      <c r="BU777" s="17"/>
      <c r="BV777" s="17"/>
      <c r="BW777" s="17"/>
      <c r="BX777" s="17"/>
      <c r="BY777" s="17"/>
      <c r="BZ777" s="17"/>
      <c r="CA777" s="17"/>
      <c r="CB777" s="17"/>
      <c r="CC777" s="17"/>
      <c r="CD777" s="17"/>
      <c r="CE777" s="17"/>
      <c r="CF777" s="17"/>
      <c r="CG777" s="17"/>
      <c r="CH777" s="17"/>
      <c r="CI777" s="17"/>
      <c r="CJ777" s="17"/>
      <c r="CK777" s="17"/>
      <c r="CL777" s="17"/>
      <c r="CM777" s="17"/>
      <c r="CN777" s="17"/>
      <c r="CO777" s="17"/>
      <c r="CP777" s="17"/>
      <c r="CQ777" s="17"/>
      <c r="CR777" s="17"/>
      <c r="CS777" s="17"/>
      <c r="CT777" s="17"/>
      <c r="CU777" s="17"/>
      <c r="CV777" s="17"/>
      <c r="CW777" s="17"/>
      <c r="CX777" s="17"/>
      <c r="CY777" s="17"/>
      <c r="CZ777" s="17"/>
      <c r="DA777" s="17"/>
      <c r="DB777" s="17"/>
      <c r="DC777" s="17"/>
      <c r="DD777" s="17"/>
      <c r="DE777" s="17"/>
      <c r="DF777" s="17"/>
      <c r="DG777" s="17"/>
      <c r="DH777" s="17"/>
      <c r="DI777" s="17"/>
      <c r="DJ777" s="17"/>
      <c r="DK777" s="17"/>
      <c r="DL777" s="17"/>
      <c r="DM777" s="17"/>
      <c r="DN777" s="17"/>
      <c r="DO777" s="17"/>
      <c r="DP777" s="17"/>
      <c r="DQ777" s="17"/>
      <c r="DR777" s="17"/>
      <c r="DS777" s="17"/>
      <c r="DT777" s="17"/>
      <c r="DU777" s="17"/>
      <c r="DV777" s="17"/>
      <c r="DW777" s="17"/>
    </row>
    <row r="778" spans="1:127" ht="18" customHeight="1">
      <c r="A778" s="16"/>
      <c r="B778" s="16"/>
      <c r="C778" s="16"/>
      <c r="D778" s="16"/>
      <c r="E778" s="16"/>
      <c r="F778" s="16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  <c r="CR778" s="17"/>
      <c r="CS778" s="17"/>
      <c r="CT778" s="17"/>
      <c r="CU778" s="17"/>
      <c r="CV778" s="17"/>
      <c r="CW778" s="17"/>
      <c r="CX778" s="17"/>
      <c r="CY778" s="17"/>
      <c r="CZ778" s="17"/>
      <c r="DA778" s="17"/>
      <c r="DB778" s="17"/>
      <c r="DC778" s="17"/>
      <c r="DD778" s="17"/>
      <c r="DE778" s="17"/>
      <c r="DF778" s="17"/>
      <c r="DG778" s="17"/>
      <c r="DH778" s="17"/>
      <c r="DI778" s="17"/>
      <c r="DJ778" s="17"/>
      <c r="DK778" s="17"/>
      <c r="DL778" s="17"/>
      <c r="DM778" s="17"/>
      <c r="DN778" s="17"/>
      <c r="DO778" s="17"/>
      <c r="DP778" s="17"/>
      <c r="DQ778" s="17"/>
      <c r="DR778" s="17"/>
      <c r="DS778" s="17"/>
      <c r="DT778" s="17"/>
      <c r="DU778" s="17"/>
      <c r="DV778" s="17"/>
      <c r="DW778" s="17"/>
    </row>
    <row r="779" spans="1:127" ht="18" customHeight="1">
      <c r="A779" s="16"/>
      <c r="B779" s="16"/>
      <c r="C779" s="16"/>
      <c r="D779" s="16"/>
      <c r="E779" s="16"/>
      <c r="F779" s="16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  <c r="BK779" s="17"/>
      <c r="BL779" s="17"/>
      <c r="BM779" s="17"/>
      <c r="BN779" s="17"/>
      <c r="BO779" s="17"/>
      <c r="BP779" s="17"/>
      <c r="BQ779" s="17"/>
      <c r="BR779" s="17"/>
      <c r="BS779" s="17"/>
      <c r="BT779" s="17"/>
      <c r="BU779" s="17"/>
      <c r="BV779" s="17"/>
      <c r="BW779" s="17"/>
      <c r="BX779" s="17"/>
      <c r="BY779" s="17"/>
      <c r="BZ779" s="17"/>
      <c r="CA779" s="17"/>
      <c r="CB779" s="17"/>
      <c r="CC779" s="17"/>
      <c r="CD779" s="17"/>
      <c r="CE779" s="17"/>
      <c r="CF779" s="17"/>
      <c r="CG779" s="17"/>
      <c r="CH779" s="17"/>
      <c r="CI779" s="17"/>
      <c r="CJ779" s="17"/>
      <c r="CK779" s="17"/>
      <c r="CL779" s="17"/>
      <c r="CM779" s="17"/>
      <c r="CN779" s="17"/>
      <c r="CO779" s="17"/>
      <c r="CP779" s="17"/>
      <c r="CQ779" s="17"/>
      <c r="CR779" s="17"/>
      <c r="CS779" s="17"/>
      <c r="CT779" s="17"/>
      <c r="CU779" s="17"/>
      <c r="CV779" s="17"/>
      <c r="CW779" s="17"/>
      <c r="CX779" s="17"/>
      <c r="CY779" s="17"/>
      <c r="CZ779" s="17"/>
      <c r="DA779" s="17"/>
      <c r="DB779" s="17"/>
      <c r="DC779" s="17"/>
      <c r="DD779" s="17"/>
      <c r="DE779" s="17"/>
      <c r="DF779" s="17"/>
      <c r="DG779" s="17"/>
      <c r="DH779" s="17"/>
      <c r="DI779" s="17"/>
      <c r="DJ779" s="17"/>
      <c r="DK779" s="17"/>
      <c r="DL779" s="17"/>
      <c r="DM779" s="17"/>
      <c r="DN779" s="17"/>
      <c r="DO779" s="17"/>
      <c r="DP779" s="17"/>
      <c r="DQ779" s="17"/>
      <c r="DR779" s="17"/>
      <c r="DS779" s="17"/>
      <c r="DT779" s="17"/>
      <c r="DU779" s="17"/>
      <c r="DV779" s="17"/>
      <c r="DW779" s="17"/>
    </row>
    <row r="780" spans="1:127" ht="18" customHeight="1">
      <c r="A780" s="16"/>
      <c r="B780" s="16"/>
      <c r="C780" s="16"/>
      <c r="D780" s="16"/>
      <c r="E780" s="16"/>
      <c r="F780" s="16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  <c r="BK780" s="17"/>
      <c r="BL780" s="17"/>
      <c r="BM780" s="17"/>
      <c r="BN780" s="17"/>
      <c r="BO780" s="17"/>
      <c r="BP780" s="17"/>
      <c r="BQ780" s="17"/>
      <c r="BR780" s="17"/>
      <c r="BS780" s="17"/>
      <c r="BT780" s="17"/>
      <c r="BU780" s="17"/>
      <c r="BV780" s="17"/>
      <c r="BW780" s="17"/>
      <c r="BX780" s="17"/>
      <c r="BY780" s="17"/>
      <c r="BZ780" s="17"/>
      <c r="CA780" s="17"/>
      <c r="CB780" s="17"/>
      <c r="CC780" s="17"/>
      <c r="CD780" s="17"/>
      <c r="CE780" s="17"/>
      <c r="CF780" s="17"/>
      <c r="CG780" s="17"/>
      <c r="CH780" s="17"/>
      <c r="CI780" s="17"/>
      <c r="CJ780" s="17"/>
      <c r="CK780" s="17"/>
      <c r="CL780" s="17"/>
      <c r="CM780" s="17"/>
      <c r="CN780" s="17"/>
      <c r="CO780" s="17"/>
      <c r="CP780" s="17"/>
      <c r="CQ780" s="17"/>
      <c r="CR780" s="17"/>
      <c r="CS780" s="17"/>
      <c r="CT780" s="17"/>
      <c r="CU780" s="17"/>
      <c r="CV780" s="17"/>
      <c r="CW780" s="17"/>
      <c r="CX780" s="17"/>
      <c r="CY780" s="17"/>
      <c r="CZ780" s="17"/>
      <c r="DA780" s="17"/>
      <c r="DB780" s="17"/>
      <c r="DC780" s="17"/>
      <c r="DD780" s="17"/>
      <c r="DE780" s="17"/>
      <c r="DF780" s="17"/>
      <c r="DG780" s="17"/>
      <c r="DH780" s="17"/>
      <c r="DI780" s="17"/>
      <c r="DJ780" s="17"/>
      <c r="DK780" s="17"/>
      <c r="DL780" s="17"/>
      <c r="DM780" s="17"/>
      <c r="DN780" s="17"/>
      <c r="DO780" s="17"/>
      <c r="DP780" s="17"/>
      <c r="DQ780" s="17"/>
      <c r="DR780" s="17"/>
      <c r="DS780" s="17"/>
      <c r="DT780" s="17"/>
      <c r="DU780" s="17"/>
      <c r="DV780" s="17"/>
      <c r="DW780" s="17"/>
    </row>
    <row r="781" spans="1:127" ht="18" customHeight="1">
      <c r="A781" s="16"/>
      <c r="B781" s="16"/>
      <c r="C781" s="16"/>
      <c r="D781" s="16"/>
      <c r="E781" s="16"/>
      <c r="F781" s="16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  <c r="BK781" s="17"/>
      <c r="BL781" s="17"/>
      <c r="BM781" s="17"/>
      <c r="BN781" s="17"/>
      <c r="BO781" s="17"/>
      <c r="BP781" s="17"/>
      <c r="BQ781" s="17"/>
      <c r="BR781" s="17"/>
      <c r="BS781" s="17"/>
      <c r="BT781" s="17"/>
      <c r="BU781" s="17"/>
      <c r="BV781" s="17"/>
      <c r="BW781" s="17"/>
      <c r="BX781" s="17"/>
      <c r="BY781" s="17"/>
      <c r="BZ781" s="17"/>
      <c r="CA781" s="17"/>
      <c r="CB781" s="17"/>
      <c r="CC781" s="17"/>
      <c r="CD781" s="17"/>
      <c r="CE781" s="17"/>
      <c r="CF781" s="17"/>
      <c r="CG781" s="17"/>
      <c r="CH781" s="17"/>
      <c r="CI781" s="17"/>
      <c r="CJ781" s="17"/>
      <c r="CK781" s="17"/>
      <c r="CL781" s="17"/>
      <c r="CM781" s="17"/>
      <c r="CN781" s="17"/>
      <c r="CO781" s="17"/>
      <c r="CP781" s="17"/>
      <c r="CQ781" s="17"/>
      <c r="CR781" s="17"/>
      <c r="CS781" s="17"/>
      <c r="CT781" s="17"/>
      <c r="CU781" s="17"/>
      <c r="CV781" s="17"/>
      <c r="CW781" s="17"/>
      <c r="CX781" s="17"/>
      <c r="CY781" s="17"/>
      <c r="CZ781" s="17"/>
      <c r="DA781" s="17"/>
      <c r="DB781" s="17"/>
      <c r="DC781" s="17"/>
      <c r="DD781" s="17"/>
      <c r="DE781" s="17"/>
      <c r="DF781" s="17"/>
      <c r="DG781" s="17"/>
      <c r="DH781" s="17"/>
      <c r="DI781" s="17"/>
      <c r="DJ781" s="17"/>
      <c r="DK781" s="17"/>
      <c r="DL781" s="17"/>
      <c r="DM781" s="17"/>
      <c r="DN781" s="17"/>
      <c r="DO781" s="17"/>
      <c r="DP781" s="17"/>
      <c r="DQ781" s="17"/>
      <c r="DR781" s="17"/>
      <c r="DS781" s="17"/>
      <c r="DT781" s="17"/>
      <c r="DU781" s="17"/>
      <c r="DV781" s="17"/>
      <c r="DW781" s="17"/>
    </row>
    <row r="782" spans="1:127" ht="18" customHeight="1">
      <c r="A782" s="16"/>
      <c r="B782" s="16"/>
      <c r="C782" s="16"/>
      <c r="D782" s="16"/>
      <c r="E782" s="16"/>
      <c r="F782" s="16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  <c r="BK782" s="17"/>
      <c r="BL782" s="17"/>
      <c r="BM782" s="17"/>
      <c r="BN782" s="17"/>
      <c r="BO782" s="17"/>
      <c r="BP782" s="17"/>
      <c r="BQ782" s="17"/>
      <c r="BR782" s="17"/>
      <c r="BS782" s="17"/>
      <c r="BT782" s="17"/>
      <c r="BU782" s="17"/>
      <c r="BV782" s="17"/>
      <c r="BW782" s="17"/>
      <c r="BX782" s="17"/>
      <c r="BY782" s="17"/>
      <c r="BZ782" s="17"/>
      <c r="CA782" s="17"/>
      <c r="CB782" s="17"/>
      <c r="CC782" s="17"/>
      <c r="CD782" s="17"/>
      <c r="CE782" s="17"/>
      <c r="CF782" s="17"/>
      <c r="CG782" s="17"/>
      <c r="CH782" s="17"/>
      <c r="CI782" s="17"/>
      <c r="CJ782" s="17"/>
      <c r="CK782" s="17"/>
      <c r="CL782" s="17"/>
      <c r="CM782" s="17"/>
      <c r="CN782" s="17"/>
      <c r="CO782" s="17"/>
      <c r="CP782" s="17"/>
      <c r="CQ782" s="17"/>
      <c r="CR782" s="17"/>
      <c r="CS782" s="17"/>
      <c r="CT782" s="17"/>
      <c r="CU782" s="17"/>
      <c r="CV782" s="17"/>
      <c r="CW782" s="17"/>
      <c r="CX782" s="17"/>
      <c r="CY782" s="17"/>
      <c r="CZ782" s="17"/>
      <c r="DA782" s="17"/>
      <c r="DB782" s="17"/>
      <c r="DC782" s="17"/>
      <c r="DD782" s="17"/>
      <c r="DE782" s="17"/>
      <c r="DF782" s="17"/>
      <c r="DG782" s="17"/>
      <c r="DH782" s="17"/>
      <c r="DI782" s="17"/>
      <c r="DJ782" s="17"/>
      <c r="DK782" s="17"/>
      <c r="DL782" s="17"/>
      <c r="DM782" s="17"/>
      <c r="DN782" s="17"/>
      <c r="DO782" s="17"/>
      <c r="DP782" s="17"/>
      <c r="DQ782" s="17"/>
      <c r="DR782" s="17"/>
      <c r="DS782" s="17"/>
      <c r="DT782" s="17"/>
      <c r="DU782" s="17"/>
      <c r="DV782" s="17"/>
      <c r="DW782" s="17"/>
    </row>
    <row r="783" spans="1:127" ht="18" customHeight="1">
      <c r="A783" s="16"/>
      <c r="B783" s="16"/>
      <c r="C783" s="16"/>
      <c r="D783" s="16"/>
      <c r="E783" s="16"/>
      <c r="F783" s="16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  <c r="BK783" s="17"/>
      <c r="BL783" s="17"/>
      <c r="BM783" s="17"/>
      <c r="BN783" s="17"/>
      <c r="BO783" s="17"/>
      <c r="BP783" s="17"/>
      <c r="BQ783" s="17"/>
      <c r="BR783" s="17"/>
      <c r="BS783" s="17"/>
      <c r="BT783" s="17"/>
      <c r="BU783" s="17"/>
      <c r="BV783" s="17"/>
      <c r="BW783" s="17"/>
      <c r="BX783" s="17"/>
      <c r="BY783" s="17"/>
      <c r="BZ783" s="17"/>
      <c r="CA783" s="17"/>
      <c r="CB783" s="17"/>
      <c r="CC783" s="17"/>
      <c r="CD783" s="17"/>
      <c r="CE783" s="17"/>
      <c r="CF783" s="17"/>
      <c r="CG783" s="17"/>
      <c r="CH783" s="17"/>
      <c r="CI783" s="17"/>
      <c r="CJ783" s="17"/>
      <c r="CK783" s="17"/>
      <c r="CL783" s="17"/>
      <c r="CM783" s="17"/>
      <c r="CN783" s="17"/>
      <c r="CO783" s="17"/>
      <c r="CP783" s="17"/>
      <c r="CQ783" s="17"/>
      <c r="CR783" s="17"/>
      <c r="CS783" s="17"/>
      <c r="CT783" s="17"/>
      <c r="CU783" s="17"/>
      <c r="CV783" s="17"/>
      <c r="CW783" s="17"/>
      <c r="CX783" s="17"/>
      <c r="CY783" s="17"/>
      <c r="CZ783" s="17"/>
      <c r="DA783" s="17"/>
      <c r="DB783" s="17"/>
      <c r="DC783" s="17"/>
      <c r="DD783" s="17"/>
      <c r="DE783" s="17"/>
      <c r="DF783" s="17"/>
      <c r="DG783" s="17"/>
      <c r="DH783" s="17"/>
      <c r="DI783" s="17"/>
      <c r="DJ783" s="17"/>
      <c r="DK783" s="17"/>
      <c r="DL783" s="17"/>
      <c r="DM783" s="17"/>
      <c r="DN783" s="17"/>
      <c r="DO783" s="17"/>
      <c r="DP783" s="17"/>
      <c r="DQ783" s="17"/>
      <c r="DR783" s="17"/>
      <c r="DS783" s="17"/>
      <c r="DT783" s="17"/>
      <c r="DU783" s="17"/>
      <c r="DV783" s="17"/>
      <c r="DW783" s="17"/>
    </row>
    <row r="784" spans="1:127" ht="18" customHeight="1">
      <c r="A784" s="16"/>
      <c r="B784" s="16"/>
      <c r="C784" s="16"/>
      <c r="D784" s="16"/>
      <c r="E784" s="16"/>
      <c r="F784" s="16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  <c r="CR784" s="17"/>
      <c r="CS784" s="17"/>
      <c r="CT784" s="17"/>
      <c r="CU784" s="17"/>
      <c r="CV784" s="17"/>
      <c r="CW784" s="17"/>
      <c r="CX784" s="17"/>
      <c r="CY784" s="17"/>
      <c r="CZ784" s="17"/>
      <c r="DA784" s="17"/>
      <c r="DB784" s="17"/>
      <c r="DC784" s="17"/>
      <c r="DD784" s="17"/>
      <c r="DE784" s="17"/>
      <c r="DF784" s="17"/>
      <c r="DG784" s="17"/>
      <c r="DH784" s="17"/>
      <c r="DI784" s="17"/>
      <c r="DJ784" s="17"/>
      <c r="DK784" s="17"/>
      <c r="DL784" s="17"/>
      <c r="DM784" s="17"/>
      <c r="DN784" s="17"/>
      <c r="DO784" s="17"/>
      <c r="DP784" s="17"/>
      <c r="DQ784" s="17"/>
      <c r="DR784" s="17"/>
      <c r="DS784" s="17"/>
      <c r="DT784" s="17"/>
      <c r="DU784" s="17"/>
      <c r="DV784" s="17"/>
      <c r="DW784" s="17"/>
    </row>
    <row r="785" spans="1:127" ht="18" customHeight="1">
      <c r="A785" s="16"/>
      <c r="B785" s="16"/>
      <c r="C785" s="16"/>
      <c r="D785" s="16"/>
      <c r="E785" s="16"/>
      <c r="F785" s="16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  <c r="BK785" s="17"/>
      <c r="BL785" s="17"/>
      <c r="BM785" s="17"/>
      <c r="BN785" s="17"/>
      <c r="BO785" s="17"/>
      <c r="BP785" s="17"/>
      <c r="BQ785" s="17"/>
      <c r="BR785" s="17"/>
      <c r="BS785" s="17"/>
      <c r="BT785" s="17"/>
      <c r="BU785" s="17"/>
      <c r="BV785" s="17"/>
      <c r="BW785" s="17"/>
      <c r="BX785" s="17"/>
      <c r="BY785" s="17"/>
      <c r="BZ785" s="17"/>
      <c r="CA785" s="17"/>
      <c r="CB785" s="17"/>
      <c r="CC785" s="17"/>
      <c r="CD785" s="17"/>
      <c r="CE785" s="17"/>
      <c r="CF785" s="17"/>
      <c r="CG785" s="17"/>
      <c r="CH785" s="17"/>
      <c r="CI785" s="17"/>
      <c r="CJ785" s="17"/>
      <c r="CK785" s="17"/>
      <c r="CL785" s="17"/>
      <c r="CM785" s="17"/>
      <c r="CN785" s="17"/>
      <c r="CO785" s="17"/>
      <c r="CP785" s="17"/>
      <c r="CQ785" s="17"/>
      <c r="CR785" s="17"/>
      <c r="CS785" s="17"/>
      <c r="CT785" s="17"/>
      <c r="CU785" s="17"/>
      <c r="CV785" s="17"/>
      <c r="CW785" s="17"/>
      <c r="CX785" s="17"/>
      <c r="CY785" s="17"/>
      <c r="CZ785" s="17"/>
      <c r="DA785" s="17"/>
      <c r="DB785" s="17"/>
      <c r="DC785" s="17"/>
      <c r="DD785" s="17"/>
      <c r="DE785" s="17"/>
      <c r="DF785" s="17"/>
      <c r="DG785" s="17"/>
      <c r="DH785" s="17"/>
      <c r="DI785" s="17"/>
      <c r="DJ785" s="17"/>
      <c r="DK785" s="17"/>
      <c r="DL785" s="17"/>
      <c r="DM785" s="17"/>
      <c r="DN785" s="17"/>
      <c r="DO785" s="17"/>
      <c r="DP785" s="17"/>
      <c r="DQ785" s="17"/>
      <c r="DR785" s="17"/>
      <c r="DS785" s="17"/>
      <c r="DT785" s="17"/>
      <c r="DU785" s="17"/>
      <c r="DV785" s="17"/>
      <c r="DW785" s="17"/>
    </row>
    <row r="786" spans="1:127" ht="18" customHeight="1">
      <c r="A786" s="16"/>
      <c r="B786" s="16"/>
      <c r="C786" s="16"/>
      <c r="D786" s="16"/>
      <c r="E786" s="16"/>
      <c r="F786" s="16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  <c r="CR786" s="17"/>
      <c r="CS786" s="17"/>
      <c r="CT786" s="17"/>
      <c r="CU786" s="17"/>
      <c r="CV786" s="17"/>
      <c r="CW786" s="17"/>
      <c r="CX786" s="17"/>
      <c r="CY786" s="17"/>
      <c r="CZ786" s="17"/>
      <c r="DA786" s="17"/>
      <c r="DB786" s="17"/>
      <c r="DC786" s="17"/>
      <c r="DD786" s="17"/>
      <c r="DE786" s="17"/>
      <c r="DF786" s="17"/>
      <c r="DG786" s="17"/>
      <c r="DH786" s="17"/>
      <c r="DI786" s="17"/>
      <c r="DJ786" s="17"/>
      <c r="DK786" s="17"/>
      <c r="DL786" s="17"/>
      <c r="DM786" s="17"/>
      <c r="DN786" s="17"/>
      <c r="DO786" s="17"/>
      <c r="DP786" s="17"/>
      <c r="DQ786" s="17"/>
      <c r="DR786" s="17"/>
      <c r="DS786" s="17"/>
      <c r="DT786" s="17"/>
      <c r="DU786" s="17"/>
      <c r="DV786" s="17"/>
      <c r="DW786" s="17"/>
    </row>
    <row r="787" spans="1:127" ht="18" customHeight="1">
      <c r="A787" s="16"/>
      <c r="B787" s="16"/>
      <c r="C787" s="16"/>
      <c r="D787" s="16"/>
      <c r="E787" s="16"/>
      <c r="F787" s="16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  <c r="CR787" s="17"/>
      <c r="CS787" s="17"/>
      <c r="CT787" s="17"/>
      <c r="CU787" s="17"/>
      <c r="CV787" s="17"/>
      <c r="CW787" s="17"/>
      <c r="CX787" s="17"/>
      <c r="CY787" s="17"/>
      <c r="CZ787" s="17"/>
      <c r="DA787" s="17"/>
      <c r="DB787" s="17"/>
      <c r="DC787" s="17"/>
      <c r="DD787" s="17"/>
      <c r="DE787" s="17"/>
      <c r="DF787" s="17"/>
      <c r="DG787" s="17"/>
      <c r="DH787" s="17"/>
      <c r="DI787" s="17"/>
      <c r="DJ787" s="17"/>
      <c r="DK787" s="17"/>
      <c r="DL787" s="17"/>
      <c r="DM787" s="17"/>
      <c r="DN787" s="17"/>
      <c r="DO787" s="17"/>
      <c r="DP787" s="17"/>
      <c r="DQ787" s="17"/>
      <c r="DR787" s="17"/>
      <c r="DS787" s="17"/>
      <c r="DT787" s="17"/>
      <c r="DU787" s="17"/>
      <c r="DV787" s="17"/>
      <c r="DW787" s="17"/>
    </row>
    <row r="788" spans="1:127" ht="18" customHeight="1">
      <c r="A788" s="16"/>
      <c r="B788" s="16"/>
      <c r="C788" s="16"/>
      <c r="D788" s="16"/>
      <c r="E788" s="16"/>
      <c r="F788" s="16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  <c r="BK788" s="17"/>
      <c r="BL788" s="17"/>
      <c r="BM788" s="17"/>
      <c r="BN788" s="17"/>
      <c r="BO788" s="17"/>
      <c r="BP788" s="17"/>
      <c r="BQ788" s="17"/>
      <c r="BR788" s="17"/>
      <c r="BS788" s="17"/>
      <c r="BT788" s="17"/>
      <c r="BU788" s="17"/>
      <c r="BV788" s="17"/>
      <c r="BW788" s="17"/>
      <c r="BX788" s="17"/>
      <c r="BY788" s="17"/>
      <c r="BZ788" s="17"/>
      <c r="CA788" s="17"/>
      <c r="CB788" s="17"/>
      <c r="CC788" s="17"/>
      <c r="CD788" s="17"/>
      <c r="CE788" s="17"/>
      <c r="CF788" s="17"/>
      <c r="CG788" s="17"/>
      <c r="CH788" s="17"/>
      <c r="CI788" s="17"/>
      <c r="CJ788" s="17"/>
      <c r="CK788" s="17"/>
      <c r="CL788" s="17"/>
      <c r="CM788" s="17"/>
      <c r="CN788" s="17"/>
      <c r="CO788" s="17"/>
      <c r="CP788" s="17"/>
      <c r="CQ788" s="17"/>
      <c r="CR788" s="17"/>
      <c r="CS788" s="17"/>
      <c r="CT788" s="17"/>
      <c r="CU788" s="17"/>
      <c r="CV788" s="17"/>
      <c r="CW788" s="17"/>
      <c r="CX788" s="17"/>
      <c r="CY788" s="17"/>
      <c r="CZ788" s="17"/>
      <c r="DA788" s="17"/>
      <c r="DB788" s="17"/>
      <c r="DC788" s="17"/>
      <c r="DD788" s="17"/>
      <c r="DE788" s="17"/>
      <c r="DF788" s="17"/>
      <c r="DG788" s="17"/>
      <c r="DH788" s="17"/>
      <c r="DI788" s="17"/>
      <c r="DJ788" s="17"/>
      <c r="DK788" s="17"/>
      <c r="DL788" s="17"/>
      <c r="DM788" s="17"/>
      <c r="DN788" s="17"/>
      <c r="DO788" s="17"/>
      <c r="DP788" s="17"/>
      <c r="DQ788" s="17"/>
      <c r="DR788" s="17"/>
      <c r="DS788" s="17"/>
      <c r="DT788" s="17"/>
      <c r="DU788" s="17"/>
      <c r="DV788" s="17"/>
      <c r="DW788" s="17"/>
    </row>
    <row r="789" spans="1:127" ht="18" customHeight="1">
      <c r="A789" s="16"/>
      <c r="B789" s="16"/>
      <c r="C789" s="16"/>
      <c r="D789" s="16"/>
      <c r="E789" s="16"/>
      <c r="F789" s="16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  <c r="CR789" s="17"/>
      <c r="CS789" s="17"/>
      <c r="CT789" s="17"/>
      <c r="CU789" s="17"/>
      <c r="CV789" s="17"/>
      <c r="CW789" s="17"/>
      <c r="CX789" s="17"/>
      <c r="CY789" s="17"/>
      <c r="CZ789" s="17"/>
      <c r="DA789" s="17"/>
      <c r="DB789" s="17"/>
      <c r="DC789" s="17"/>
      <c r="DD789" s="17"/>
      <c r="DE789" s="17"/>
      <c r="DF789" s="17"/>
      <c r="DG789" s="17"/>
      <c r="DH789" s="17"/>
      <c r="DI789" s="17"/>
      <c r="DJ789" s="17"/>
      <c r="DK789" s="17"/>
      <c r="DL789" s="17"/>
      <c r="DM789" s="17"/>
      <c r="DN789" s="17"/>
      <c r="DO789" s="17"/>
      <c r="DP789" s="17"/>
      <c r="DQ789" s="17"/>
      <c r="DR789" s="17"/>
      <c r="DS789" s="17"/>
      <c r="DT789" s="17"/>
      <c r="DU789" s="17"/>
      <c r="DV789" s="17"/>
      <c r="DW789" s="17"/>
    </row>
    <row r="790" spans="1:127" ht="18" customHeight="1">
      <c r="A790" s="16"/>
      <c r="B790" s="16"/>
      <c r="C790" s="16"/>
      <c r="D790" s="16"/>
      <c r="E790" s="16"/>
      <c r="F790" s="16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  <c r="BK790" s="17"/>
      <c r="BL790" s="17"/>
      <c r="BM790" s="17"/>
      <c r="BN790" s="17"/>
      <c r="BO790" s="17"/>
      <c r="BP790" s="17"/>
      <c r="BQ790" s="17"/>
      <c r="BR790" s="17"/>
      <c r="BS790" s="17"/>
      <c r="BT790" s="17"/>
      <c r="BU790" s="17"/>
      <c r="BV790" s="17"/>
      <c r="BW790" s="17"/>
      <c r="BX790" s="17"/>
      <c r="BY790" s="17"/>
      <c r="BZ790" s="17"/>
      <c r="CA790" s="17"/>
      <c r="CB790" s="17"/>
      <c r="CC790" s="17"/>
      <c r="CD790" s="17"/>
      <c r="CE790" s="17"/>
      <c r="CF790" s="17"/>
      <c r="CG790" s="17"/>
      <c r="CH790" s="17"/>
      <c r="CI790" s="17"/>
      <c r="CJ790" s="17"/>
      <c r="CK790" s="17"/>
      <c r="CL790" s="17"/>
      <c r="CM790" s="17"/>
      <c r="CN790" s="17"/>
      <c r="CO790" s="17"/>
      <c r="CP790" s="17"/>
      <c r="CQ790" s="17"/>
      <c r="CR790" s="17"/>
      <c r="CS790" s="17"/>
      <c r="CT790" s="17"/>
      <c r="CU790" s="17"/>
      <c r="CV790" s="17"/>
      <c r="CW790" s="17"/>
      <c r="CX790" s="17"/>
      <c r="CY790" s="17"/>
      <c r="CZ790" s="17"/>
      <c r="DA790" s="17"/>
      <c r="DB790" s="17"/>
      <c r="DC790" s="17"/>
      <c r="DD790" s="17"/>
      <c r="DE790" s="17"/>
      <c r="DF790" s="17"/>
      <c r="DG790" s="17"/>
      <c r="DH790" s="17"/>
      <c r="DI790" s="17"/>
      <c r="DJ790" s="17"/>
      <c r="DK790" s="17"/>
      <c r="DL790" s="17"/>
      <c r="DM790" s="17"/>
      <c r="DN790" s="17"/>
      <c r="DO790" s="17"/>
      <c r="DP790" s="17"/>
      <c r="DQ790" s="17"/>
      <c r="DR790" s="17"/>
      <c r="DS790" s="17"/>
      <c r="DT790" s="17"/>
      <c r="DU790" s="17"/>
      <c r="DV790" s="17"/>
      <c r="DW790" s="17"/>
    </row>
    <row r="791" spans="1:127" ht="18" customHeight="1">
      <c r="A791" s="16"/>
      <c r="B791" s="16"/>
      <c r="C791" s="16"/>
      <c r="D791" s="16"/>
      <c r="E791" s="16"/>
      <c r="F791" s="16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  <c r="BK791" s="17"/>
      <c r="BL791" s="17"/>
      <c r="BM791" s="17"/>
      <c r="BN791" s="17"/>
      <c r="BO791" s="17"/>
      <c r="BP791" s="17"/>
      <c r="BQ791" s="17"/>
      <c r="BR791" s="17"/>
      <c r="BS791" s="17"/>
      <c r="BT791" s="17"/>
      <c r="BU791" s="17"/>
      <c r="BV791" s="17"/>
      <c r="BW791" s="17"/>
      <c r="BX791" s="17"/>
      <c r="BY791" s="17"/>
      <c r="BZ791" s="17"/>
      <c r="CA791" s="17"/>
      <c r="CB791" s="17"/>
      <c r="CC791" s="17"/>
      <c r="CD791" s="17"/>
      <c r="CE791" s="17"/>
      <c r="CF791" s="17"/>
      <c r="CG791" s="17"/>
      <c r="CH791" s="17"/>
      <c r="CI791" s="17"/>
      <c r="CJ791" s="17"/>
      <c r="CK791" s="17"/>
      <c r="CL791" s="17"/>
      <c r="CM791" s="17"/>
      <c r="CN791" s="17"/>
      <c r="CO791" s="17"/>
      <c r="CP791" s="17"/>
      <c r="CQ791" s="17"/>
      <c r="CR791" s="17"/>
      <c r="CS791" s="17"/>
      <c r="CT791" s="17"/>
      <c r="CU791" s="17"/>
      <c r="CV791" s="17"/>
      <c r="CW791" s="17"/>
      <c r="CX791" s="17"/>
      <c r="CY791" s="17"/>
      <c r="CZ791" s="17"/>
      <c r="DA791" s="17"/>
      <c r="DB791" s="17"/>
      <c r="DC791" s="17"/>
      <c r="DD791" s="17"/>
      <c r="DE791" s="17"/>
      <c r="DF791" s="17"/>
      <c r="DG791" s="17"/>
      <c r="DH791" s="17"/>
      <c r="DI791" s="17"/>
      <c r="DJ791" s="17"/>
      <c r="DK791" s="17"/>
      <c r="DL791" s="17"/>
      <c r="DM791" s="17"/>
      <c r="DN791" s="17"/>
      <c r="DO791" s="17"/>
      <c r="DP791" s="17"/>
      <c r="DQ791" s="17"/>
      <c r="DR791" s="17"/>
      <c r="DS791" s="17"/>
      <c r="DT791" s="17"/>
      <c r="DU791" s="17"/>
      <c r="DV791" s="17"/>
      <c r="DW791" s="17"/>
    </row>
    <row r="792" spans="1:127" ht="18" customHeight="1">
      <c r="A792" s="16"/>
      <c r="B792" s="16"/>
      <c r="C792" s="16"/>
      <c r="D792" s="16"/>
      <c r="E792" s="16"/>
      <c r="F792" s="16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  <c r="CR792" s="17"/>
      <c r="CS792" s="17"/>
      <c r="CT792" s="17"/>
      <c r="CU792" s="17"/>
      <c r="CV792" s="17"/>
      <c r="CW792" s="17"/>
      <c r="CX792" s="17"/>
      <c r="CY792" s="17"/>
      <c r="CZ792" s="17"/>
      <c r="DA792" s="17"/>
      <c r="DB792" s="17"/>
      <c r="DC792" s="17"/>
      <c r="DD792" s="17"/>
      <c r="DE792" s="17"/>
      <c r="DF792" s="17"/>
      <c r="DG792" s="17"/>
      <c r="DH792" s="17"/>
      <c r="DI792" s="17"/>
      <c r="DJ792" s="17"/>
      <c r="DK792" s="17"/>
      <c r="DL792" s="17"/>
      <c r="DM792" s="17"/>
      <c r="DN792" s="17"/>
      <c r="DO792" s="17"/>
      <c r="DP792" s="17"/>
      <c r="DQ792" s="17"/>
      <c r="DR792" s="17"/>
      <c r="DS792" s="17"/>
      <c r="DT792" s="17"/>
      <c r="DU792" s="17"/>
      <c r="DV792" s="17"/>
      <c r="DW792" s="17"/>
    </row>
    <row r="793" spans="1:127" ht="18" customHeight="1">
      <c r="A793" s="16"/>
      <c r="B793" s="16"/>
      <c r="C793" s="16"/>
      <c r="D793" s="16"/>
      <c r="E793" s="16"/>
      <c r="F793" s="16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  <c r="CR793" s="17"/>
      <c r="CS793" s="17"/>
      <c r="CT793" s="17"/>
      <c r="CU793" s="17"/>
      <c r="CV793" s="17"/>
      <c r="CW793" s="17"/>
      <c r="CX793" s="17"/>
      <c r="CY793" s="17"/>
      <c r="CZ793" s="17"/>
      <c r="DA793" s="17"/>
      <c r="DB793" s="17"/>
      <c r="DC793" s="17"/>
      <c r="DD793" s="17"/>
      <c r="DE793" s="17"/>
      <c r="DF793" s="17"/>
      <c r="DG793" s="17"/>
      <c r="DH793" s="17"/>
      <c r="DI793" s="17"/>
      <c r="DJ793" s="17"/>
      <c r="DK793" s="17"/>
      <c r="DL793" s="17"/>
      <c r="DM793" s="17"/>
      <c r="DN793" s="17"/>
      <c r="DO793" s="17"/>
      <c r="DP793" s="17"/>
      <c r="DQ793" s="17"/>
      <c r="DR793" s="17"/>
      <c r="DS793" s="17"/>
      <c r="DT793" s="17"/>
      <c r="DU793" s="17"/>
      <c r="DV793" s="17"/>
      <c r="DW793" s="17"/>
    </row>
    <row r="794" spans="1:127" ht="18" customHeight="1">
      <c r="A794" s="16"/>
      <c r="B794" s="16"/>
      <c r="C794" s="16"/>
      <c r="D794" s="16"/>
      <c r="E794" s="16"/>
      <c r="F794" s="16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  <c r="CR794" s="17"/>
      <c r="CS794" s="17"/>
      <c r="CT794" s="17"/>
      <c r="CU794" s="17"/>
      <c r="CV794" s="17"/>
      <c r="CW794" s="17"/>
      <c r="CX794" s="17"/>
      <c r="CY794" s="17"/>
      <c r="CZ794" s="17"/>
      <c r="DA794" s="17"/>
      <c r="DB794" s="17"/>
      <c r="DC794" s="17"/>
      <c r="DD794" s="17"/>
      <c r="DE794" s="17"/>
      <c r="DF794" s="17"/>
      <c r="DG794" s="17"/>
      <c r="DH794" s="17"/>
      <c r="DI794" s="17"/>
      <c r="DJ794" s="17"/>
      <c r="DK794" s="17"/>
      <c r="DL794" s="17"/>
      <c r="DM794" s="17"/>
      <c r="DN794" s="17"/>
      <c r="DO794" s="17"/>
      <c r="DP794" s="17"/>
      <c r="DQ794" s="17"/>
      <c r="DR794" s="17"/>
      <c r="DS794" s="17"/>
      <c r="DT794" s="17"/>
      <c r="DU794" s="17"/>
      <c r="DV794" s="17"/>
      <c r="DW794" s="17"/>
    </row>
    <row r="795" spans="1:127" ht="18" customHeight="1">
      <c r="A795" s="16"/>
      <c r="B795" s="16"/>
      <c r="C795" s="16"/>
      <c r="D795" s="16"/>
      <c r="E795" s="16"/>
      <c r="F795" s="16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  <c r="CR795" s="17"/>
      <c r="CS795" s="17"/>
      <c r="CT795" s="17"/>
      <c r="CU795" s="17"/>
      <c r="CV795" s="17"/>
      <c r="CW795" s="17"/>
      <c r="CX795" s="17"/>
      <c r="CY795" s="17"/>
      <c r="CZ795" s="17"/>
      <c r="DA795" s="17"/>
      <c r="DB795" s="17"/>
      <c r="DC795" s="17"/>
      <c r="DD795" s="17"/>
      <c r="DE795" s="17"/>
      <c r="DF795" s="17"/>
      <c r="DG795" s="17"/>
      <c r="DH795" s="17"/>
      <c r="DI795" s="17"/>
      <c r="DJ795" s="17"/>
      <c r="DK795" s="17"/>
      <c r="DL795" s="17"/>
      <c r="DM795" s="17"/>
      <c r="DN795" s="17"/>
      <c r="DO795" s="17"/>
      <c r="DP795" s="17"/>
      <c r="DQ795" s="17"/>
      <c r="DR795" s="17"/>
      <c r="DS795" s="17"/>
      <c r="DT795" s="17"/>
      <c r="DU795" s="17"/>
      <c r="DV795" s="17"/>
      <c r="DW795" s="17"/>
    </row>
    <row r="796" spans="1:127" ht="18" customHeight="1">
      <c r="A796" s="16"/>
      <c r="B796" s="16"/>
      <c r="C796" s="16"/>
      <c r="D796" s="16"/>
      <c r="E796" s="16"/>
      <c r="F796" s="16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  <c r="BK796" s="17"/>
      <c r="BL796" s="17"/>
      <c r="BM796" s="17"/>
      <c r="BN796" s="17"/>
      <c r="BO796" s="17"/>
      <c r="BP796" s="17"/>
      <c r="BQ796" s="17"/>
      <c r="BR796" s="17"/>
      <c r="BS796" s="17"/>
      <c r="BT796" s="17"/>
      <c r="BU796" s="17"/>
      <c r="BV796" s="17"/>
      <c r="BW796" s="17"/>
      <c r="BX796" s="17"/>
      <c r="BY796" s="17"/>
      <c r="BZ796" s="17"/>
      <c r="CA796" s="17"/>
      <c r="CB796" s="17"/>
      <c r="CC796" s="17"/>
      <c r="CD796" s="17"/>
      <c r="CE796" s="17"/>
      <c r="CF796" s="17"/>
      <c r="CG796" s="17"/>
      <c r="CH796" s="17"/>
      <c r="CI796" s="17"/>
      <c r="CJ796" s="17"/>
      <c r="CK796" s="17"/>
      <c r="CL796" s="17"/>
      <c r="CM796" s="17"/>
      <c r="CN796" s="17"/>
      <c r="CO796" s="17"/>
      <c r="CP796" s="17"/>
      <c r="CQ796" s="17"/>
      <c r="CR796" s="17"/>
      <c r="CS796" s="17"/>
      <c r="CT796" s="17"/>
      <c r="CU796" s="17"/>
      <c r="CV796" s="17"/>
      <c r="CW796" s="17"/>
      <c r="CX796" s="17"/>
      <c r="CY796" s="17"/>
      <c r="CZ796" s="17"/>
      <c r="DA796" s="17"/>
      <c r="DB796" s="17"/>
      <c r="DC796" s="17"/>
      <c r="DD796" s="17"/>
      <c r="DE796" s="17"/>
      <c r="DF796" s="17"/>
      <c r="DG796" s="17"/>
      <c r="DH796" s="17"/>
      <c r="DI796" s="17"/>
      <c r="DJ796" s="17"/>
      <c r="DK796" s="17"/>
      <c r="DL796" s="17"/>
      <c r="DM796" s="17"/>
      <c r="DN796" s="17"/>
      <c r="DO796" s="17"/>
      <c r="DP796" s="17"/>
      <c r="DQ796" s="17"/>
      <c r="DR796" s="17"/>
      <c r="DS796" s="17"/>
      <c r="DT796" s="17"/>
      <c r="DU796" s="17"/>
      <c r="DV796" s="17"/>
      <c r="DW796" s="17"/>
    </row>
    <row r="797" spans="1:127" ht="18" customHeight="1">
      <c r="A797" s="16"/>
      <c r="B797" s="16"/>
      <c r="C797" s="16"/>
      <c r="D797" s="16"/>
      <c r="E797" s="16"/>
      <c r="F797" s="16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  <c r="BK797" s="17"/>
      <c r="BL797" s="17"/>
      <c r="BM797" s="17"/>
      <c r="BN797" s="17"/>
      <c r="BO797" s="17"/>
      <c r="BP797" s="17"/>
      <c r="BQ797" s="17"/>
      <c r="BR797" s="17"/>
      <c r="BS797" s="17"/>
      <c r="BT797" s="17"/>
      <c r="BU797" s="17"/>
      <c r="BV797" s="17"/>
      <c r="BW797" s="17"/>
      <c r="BX797" s="17"/>
      <c r="BY797" s="17"/>
      <c r="BZ797" s="17"/>
      <c r="CA797" s="17"/>
      <c r="CB797" s="17"/>
      <c r="CC797" s="17"/>
      <c r="CD797" s="17"/>
      <c r="CE797" s="17"/>
      <c r="CF797" s="17"/>
      <c r="CG797" s="17"/>
      <c r="CH797" s="17"/>
      <c r="CI797" s="17"/>
      <c r="CJ797" s="17"/>
      <c r="CK797" s="17"/>
      <c r="CL797" s="17"/>
      <c r="CM797" s="17"/>
      <c r="CN797" s="17"/>
      <c r="CO797" s="17"/>
      <c r="CP797" s="17"/>
      <c r="CQ797" s="17"/>
      <c r="CR797" s="17"/>
      <c r="CS797" s="17"/>
      <c r="CT797" s="17"/>
      <c r="CU797" s="17"/>
      <c r="CV797" s="17"/>
      <c r="CW797" s="17"/>
      <c r="CX797" s="17"/>
      <c r="CY797" s="17"/>
      <c r="CZ797" s="17"/>
      <c r="DA797" s="17"/>
      <c r="DB797" s="17"/>
      <c r="DC797" s="17"/>
      <c r="DD797" s="17"/>
      <c r="DE797" s="17"/>
      <c r="DF797" s="17"/>
      <c r="DG797" s="17"/>
      <c r="DH797" s="17"/>
      <c r="DI797" s="17"/>
      <c r="DJ797" s="17"/>
      <c r="DK797" s="17"/>
      <c r="DL797" s="17"/>
      <c r="DM797" s="17"/>
      <c r="DN797" s="17"/>
      <c r="DO797" s="17"/>
      <c r="DP797" s="17"/>
      <c r="DQ797" s="17"/>
      <c r="DR797" s="17"/>
      <c r="DS797" s="17"/>
      <c r="DT797" s="17"/>
      <c r="DU797" s="17"/>
      <c r="DV797" s="17"/>
      <c r="DW797" s="17"/>
    </row>
    <row r="798" spans="1:127" ht="18" customHeight="1">
      <c r="A798" s="16"/>
      <c r="B798" s="16"/>
      <c r="C798" s="16"/>
      <c r="D798" s="16"/>
      <c r="E798" s="16"/>
      <c r="F798" s="16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  <c r="CR798" s="17"/>
      <c r="CS798" s="17"/>
      <c r="CT798" s="17"/>
      <c r="CU798" s="17"/>
      <c r="CV798" s="17"/>
      <c r="CW798" s="17"/>
      <c r="CX798" s="17"/>
      <c r="CY798" s="17"/>
      <c r="CZ798" s="17"/>
      <c r="DA798" s="17"/>
      <c r="DB798" s="17"/>
      <c r="DC798" s="17"/>
      <c r="DD798" s="17"/>
      <c r="DE798" s="17"/>
      <c r="DF798" s="17"/>
      <c r="DG798" s="17"/>
      <c r="DH798" s="17"/>
      <c r="DI798" s="17"/>
      <c r="DJ798" s="17"/>
      <c r="DK798" s="17"/>
      <c r="DL798" s="17"/>
      <c r="DM798" s="17"/>
      <c r="DN798" s="17"/>
      <c r="DO798" s="17"/>
      <c r="DP798" s="17"/>
      <c r="DQ798" s="17"/>
      <c r="DR798" s="17"/>
      <c r="DS798" s="17"/>
      <c r="DT798" s="17"/>
      <c r="DU798" s="17"/>
      <c r="DV798" s="17"/>
      <c r="DW798" s="17"/>
    </row>
    <row r="799" spans="1:127" ht="18" customHeight="1">
      <c r="A799" s="16"/>
      <c r="B799" s="16"/>
      <c r="C799" s="16"/>
      <c r="D799" s="16"/>
      <c r="E799" s="16"/>
      <c r="F799" s="16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  <c r="CR799" s="17"/>
      <c r="CS799" s="17"/>
      <c r="CT799" s="17"/>
      <c r="CU799" s="17"/>
      <c r="CV799" s="17"/>
      <c r="CW799" s="17"/>
      <c r="CX799" s="17"/>
      <c r="CY799" s="17"/>
      <c r="CZ799" s="17"/>
      <c r="DA799" s="17"/>
      <c r="DB799" s="17"/>
      <c r="DC799" s="17"/>
      <c r="DD799" s="17"/>
      <c r="DE799" s="17"/>
      <c r="DF799" s="17"/>
      <c r="DG799" s="17"/>
      <c r="DH799" s="17"/>
      <c r="DI799" s="17"/>
      <c r="DJ799" s="17"/>
      <c r="DK799" s="17"/>
      <c r="DL799" s="17"/>
      <c r="DM799" s="17"/>
      <c r="DN799" s="17"/>
      <c r="DO799" s="17"/>
      <c r="DP799" s="17"/>
      <c r="DQ799" s="17"/>
      <c r="DR799" s="17"/>
      <c r="DS799" s="17"/>
      <c r="DT799" s="17"/>
      <c r="DU799" s="17"/>
      <c r="DV799" s="17"/>
      <c r="DW799" s="17"/>
    </row>
    <row r="800" spans="1:127" ht="18" customHeight="1">
      <c r="A800" s="16"/>
      <c r="B800" s="16"/>
      <c r="C800" s="16"/>
      <c r="D800" s="16"/>
      <c r="E800" s="16"/>
      <c r="F800" s="16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  <c r="CR800" s="17"/>
      <c r="CS800" s="17"/>
      <c r="CT800" s="17"/>
      <c r="CU800" s="17"/>
      <c r="CV800" s="17"/>
      <c r="CW800" s="17"/>
      <c r="CX800" s="17"/>
      <c r="CY800" s="17"/>
      <c r="CZ800" s="17"/>
      <c r="DA800" s="17"/>
      <c r="DB800" s="17"/>
      <c r="DC800" s="17"/>
      <c r="DD800" s="17"/>
      <c r="DE800" s="17"/>
      <c r="DF800" s="17"/>
      <c r="DG800" s="17"/>
      <c r="DH800" s="17"/>
      <c r="DI800" s="17"/>
      <c r="DJ800" s="17"/>
      <c r="DK800" s="17"/>
      <c r="DL800" s="17"/>
      <c r="DM800" s="17"/>
      <c r="DN800" s="17"/>
      <c r="DO800" s="17"/>
      <c r="DP800" s="17"/>
      <c r="DQ800" s="17"/>
      <c r="DR800" s="17"/>
      <c r="DS800" s="17"/>
      <c r="DT800" s="17"/>
      <c r="DU800" s="17"/>
      <c r="DV800" s="17"/>
      <c r="DW800" s="17"/>
    </row>
    <row r="801" spans="1:127" ht="18" customHeight="1">
      <c r="A801" s="16"/>
      <c r="B801" s="16"/>
      <c r="C801" s="16"/>
      <c r="D801" s="16"/>
      <c r="E801" s="16"/>
      <c r="F801" s="16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  <c r="CR801" s="17"/>
      <c r="CS801" s="17"/>
      <c r="CT801" s="17"/>
      <c r="CU801" s="17"/>
      <c r="CV801" s="17"/>
      <c r="CW801" s="17"/>
      <c r="CX801" s="17"/>
      <c r="CY801" s="17"/>
      <c r="CZ801" s="17"/>
      <c r="DA801" s="17"/>
      <c r="DB801" s="17"/>
      <c r="DC801" s="17"/>
      <c r="DD801" s="17"/>
      <c r="DE801" s="17"/>
      <c r="DF801" s="17"/>
      <c r="DG801" s="17"/>
      <c r="DH801" s="17"/>
      <c r="DI801" s="17"/>
      <c r="DJ801" s="17"/>
      <c r="DK801" s="17"/>
      <c r="DL801" s="17"/>
      <c r="DM801" s="17"/>
      <c r="DN801" s="17"/>
      <c r="DO801" s="17"/>
      <c r="DP801" s="17"/>
      <c r="DQ801" s="17"/>
      <c r="DR801" s="17"/>
      <c r="DS801" s="17"/>
      <c r="DT801" s="17"/>
      <c r="DU801" s="17"/>
      <c r="DV801" s="17"/>
      <c r="DW801" s="17"/>
    </row>
    <row r="802" spans="1:127" ht="18" customHeight="1">
      <c r="A802" s="16"/>
      <c r="B802" s="16"/>
      <c r="C802" s="16"/>
      <c r="D802" s="16"/>
      <c r="E802" s="16"/>
      <c r="F802" s="16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  <c r="BK802" s="17"/>
      <c r="BL802" s="17"/>
      <c r="BM802" s="17"/>
      <c r="BN802" s="17"/>
      <c r="BO802" s="17"/>
      <c r="BP802" s="17"/>
      <c r="BQ802" s="17"/>
      <c r="BR802" s="17"/>
      <c r="BS802" s="17"/>
      <c r="BT802" s="17"/>
      <c r="BU802" s="17"/>
      <c r="BV802" s="17"/>
      <c r="BW802" s="17"/>
      <c r="BX802" s="17"/>
      <c r="BY802" s="17"/>
      <c r="BZ802" s="17"/>
      <c r="CA802" s="17"/>
      <c r="CB802" s="17"/>
      <c r="CC802" s="17"/>
      <c r="CD802" s="17"/>
      <c r="CE802" s="17"/>
      <c r="CF802" s="17"/>
      <c r="CG802" s="17"/>
      <c r="CH802" s="17"/>
      <c r="CI802" s="17"/>
      <c r="CJ802" s="17"/>
      <c r="CK802" s="17"/>
      <c r="CL802" s="17"/>
      <c r="CM802" s="17"/>
      <c r="CN802" s="17"/>
      <c r="CO802" s="17"/>
      <c r="CP802" s="17"/>
      <c r="CQ802" s="17"/>
      <c r="CR802" s="17"/>
      <c r="CS802" s="17"/>
      <c r="CT802" s="17"/>
      <c r="CU802" s="17"/>
      <c r="CV802" s="17"/>
      <c r="CW802" s="17"/>
      <c r="CX802" s="17"/>
      <c r="CY802" s="17"/>
      <c r="CZ802" s="17"/>
      <c r="DA802" s="17"/>
      <c r="DB802" s="17"/>
      <c r="DC802" s="17"/>
      <c r="DD802" s="17"/>
      <c r="DE802" s="17"/>
      <c r="DF802" s="17"/>
      <c r="DG802" s="17"/>
      <c r="DH802" s="17"/>
      <c r="DI802" s="17"/>
      <c r="DJ802" s="17"/>
      <c r="DK802" s="17"/>
      <c r="DL802" s="17"/>
      <c r="DM802" s="17"/>
      <c r="DN802" s="17"/>
      <c r="DO802" s="17"/>
      <c r="DP802" s="17"/>
      <c r="DQ802" s="17"/>
      <c r="DR802" s="17"/>
      <c r="DS802" s="17"/>
      <c r="DT802" s="17"/>
      <c r="DU802" s="17"/>
      <c r="DV802" s="17"/>
      <c r="DW802" s="17"/>
    </row>
    <row r="803" spans="1:127" ht="18" customHeight="1">
      <c r="A803" s="16"/>
      <c r="B803" s="16"/>
      <c r="C803" s="16"/>
      <c r="D803" s="16"/>
      <c r="E803" s="16"/>
      <c r="F803" s="16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  <c r="CR803" s="17"/>
      <c r="CS803" s="17"/>
      <c r="CT803" s="17"/>
      <c r="CU803" s="17"/>
      <c r="CV803" s="17"/>
      <c r="CW803" s="17"/>
      <c r="CX803" s="17"/>
      <c r="CY803" s="17"/>
      <c r="CZ803" s="17"/>
      <c r="DA803" s="17"/>
      <c r="DB803" s="17"/>
      <c r="DC803" s="17"/>
      <c r="DD803" s="17"/>
      <c r="DE803" s="17"/>
      <c r="DF803" s="17"/>
      <c r="DG803" s="17"/>
      <c r="DH803" s="17"/>
      <c r="DI803" s="17"/>
      <c r="DJ803" s="17"/>
      <c r="DK803" s="17"/>
      <c r="DL803" s="17"/>
      <c r="DM803" s="17"/>
      <c r="DN803" s="17"/>
      <c r="DO803" s="17"/>
      <c r="DP803" s="17"/>
      <c r="DQ803" s="17"/>
      <c r="DR803" s="17"/>
      <c r="DS803" s="17"/>
      <c r="DT803" s="17"/>
      <c r="DU803" s="17"/>
      <c r="DV803" s="17"/>
      <c r="DW803" s="17"/>
    </row>
    <row r="804" spans="1:127" ht="18" customHeight="1">
      <c r="A804" s="16"/>
      <c r="B804" s="16"/>
      <c r="C804" s="16"/>
      <c r="D804" s="16"/>
      <c r="E804" s="16"/>
      <c r="F804" s="16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  <c r="CR804" s="17"/>
      <c r="CS804" s="17"/>
      <c r="CT804" s="17"/>
      <c r="CU804" s="17"/>
      <c r="CV804" s="17"/>
      <c r="CW804" s="17"/>
      <c r="CX804" s="17"/>
      <c r="CY804" s="17"/>
      <c r="CZ804" s="17"/>
      <c r="DA804" s="17"/>
      <c r="DB804" s="17"/>
      <c r="DC804" s="17"/>
      <c r="DD804" s="17"/>
      <c r="DE804" s="17"/>
      <c r="DF804" s="17"/>
      <c r="DG804" s="17"/>
      <c r="DH804" s="17"/>
      <c r="DI804" s="17"/>
      <c r="DJ804" s="17"/>
      <c r="DK804" s="17"/>
      <c r="DL804" s="17"/>
      <c r="DM804" s="17"/>
      <c r="DN804" s="17"/>
      <c r="DO804" s="17"/>
      <c r="DP804" s="17"/>
      <c r="DQ804" s="17"/>
      <c r="DR804" s="17"/>
      <c r="DS804" s="17"/>
      <c r="DT804" s="17"/>
      <c r="DU804" s="17"/>
      <c r="DV804" s="17"/>
      <c r="DW804" s="17"/>
    </row>
    <row r="805" spans="1:127" ht="18" customHeight="1">
      <c r="A805" s="16"/>
      <c r="B805" s="16"/>
      <c r="C805" s="16"/>
      <c r="D805" s="16"/>
      <c r="E805" s="16"/>
      <c r="F805" s="16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  <c r="CR805" s="17"/>
      <c r="CS805" s="17"/>
      <c r="CT805" s="17"/>
      <c r="CU805" s="17"/>
      <c r="CV805" s="17"/>
      <c r="CW805" s="17"/>
      <c r="CX805" s="17"/>
      <c r="CY805" s="17"/>
      <c r="CZ805" s="17"/>
      <c r="DA805" s="17"/>
      <c r="DB805" s="17"/>
      <c r="DC805" s="17"/>
      <c r="DD805" s="17"/>
      <c r="DE805" s="17"/>
      <c r="DF805" s="17"/>
      <c r="DG805" s="17"/>
      <c r="DH805" s="17"/>
      <c r="DI805" s="17"/>
      <c r="DJ805" s="17"/>
      <c r="DK805" s="17"/>
      <c r="DL805" s="17"/>
      <c r="DM805" s="17"/>
      <c r="DN805" s="17"/>
      <c r="DO805" s="17"/>
      <c r="DP805" s="17"/>
      <c r="DQ805" s="17"/>
      <c r="DR805" s="17"/>
      <c r="DS805" s="17"/>
      <c r="DT805" s="17"/>
      <c r="DU805" s="17"/>
      <c r="DV805" s="17"/>
      <c r="DW805" s="17"/>
    </row>
    <row r="806" spans="1:127" ht="18" customHeight="1">
      <c r="A806" s="16"/>
      <c r="B806" s="16"/>
      <c r="C806" s="16"/>
      <c r="D806" s="16"/>
      <c r="E806" s="16"/>
      <c r="F806" s="16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  <c r="CR806" s="17"/>
      <c r="CS806" s="17"/>
      <c r="CT806" s="17"/>
      <c r="CU806" s="17"/>
      <c r="CV806" s="17"/>
      <c r="CW806" s="17"/>
      <c r="CX806" s="17"/>
      <c r="CY806" s="17"/>
      <c r="CZ806" s="17"/>
      <c r="DA806" s="17"/>
      <c r="DB806" s="17"/>
      <c r="DC806" s="17"/>
      <c r="DD806" s="17"/>
      <c r="DE806" s="17"/>
      <c r="DF806" s="17"/>
      <c r="DG806" s="17"/>
      <c r="DH806" s="17"/>
      <c r="DI806" s="17"/>
      <c r="DJ806" s="17"/>
      <c r="DK806" s="17"/>
      <c r="DL806" s="17"/>
      <c r="DM806" s="17"/>
      <c r="DN806" s="17"/>
      <c r="DO806" s="17"/>
      <c r="DP806" s="17"/>
      <c r="DQ806" s="17"/>
      <c r="DR806" s="17"/>
      <c r="DS806" s="17"/>
      <c r="DT806" s="17"/>
      <c r="DU806" s="17"/>
      <c r="DV806" s="17"/>
      <c r="DW806" s="17"/>
    </row>
    <row r="807" spans="1:127" ht="18" customHeight="1">
      <c r="A807" s="16"/>
      <c r="B807" s="16"/>
      <c r="C807" s="16"/>
      <c r="D807" s="16"/>
      <c r="E807" s="16"/>
      <c r="F807" s="16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  <c r="CR807" s="17"/>
      <c r="CS807" s="17"/>
      <c r="CT807" s="17"/>
      <c r="CU807" s="17"/>
      <c r="CV807" s="17"/>
      <c r="CW807" s="17"/>
      <c r="CX807" s="17"/>
      <c r="CY807" s="17"/>
      <c r="CZ807" s="17"/>
      <c r="DA807" s="17"/>
      <c r="DB807" s="17"/>
      <c r="DC807" s="17"/>
      <c r="DD807" s="17"/>
      <c r="DE807" s="17"/>
      <c r="DF807" s="17"/>
      <c r="DG807" s="17"/>
      <c r="DH807" s="17"/>
      <c r="DI807" s="17"/>
      <c r="DJ807" s="17"/>
      <c r="DK807" s="17"/>
      <c r="DL807" s="17"/>
      <c r="DM807" s="17"/>
      <c r="DN807" s="17"/>
      <c r="DO807" s="17"/>
      <c r="DP807" s="17"/>
      <c r="DQ807" s="17"/>
      <c r="DR807" s="17"/>
      <c r="DS807" s="17"/>
      <c r="DT807" s="17"/>
      <c r="DU807" s="17"/>
      <c r="DV807" s="17"/>
      <c r="DW807" s="17"/>
    </row>
    <row r="808" spans="1:127" ht="18" customHeight="1">
      <c r="A808" s="16"/>
      <c r="B808" s="16"/>
      <c r="C808" s="16"/>
      <c r="D808" s="16"/>
      <c r="E808" s="16"/>
      <c r="F808" s="16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  <c r="CR808" s="17"/>
      <c r="CS808" s="17"/>
      <c r="CT808" s="17"/>
      <c r="CU808" s="17"/>
      <c r="CV808" s="17"/>
      <c r="CW808" s="17"/>
      <c r="CX808" s="17"/>
      <c r="CY808" s="17"/>
      <c r="CZ808" s="17"/>
      <c r="DA808" s="17"/>
      <c r="DB808" s="17"/>
      <c r="DC808" s="17"/>
      <c r="DD808" s="17"/>
      <c r="DE808" s="17"/>
      <c r="DF808" s="17"/>
      <c r="DG808" s="17"/>
      <c r="DH808" s="17"/>
      <c r="DI808" s="17"/>
      <c r="DJ808" s="17"/>
      <c r="DK808" s="17"/>
      <c r="DL808" s="17"/>
      <c r="DM808" s="17"/>
      <c r="DN808" s="17"/>
      <c r="DO808" s="17"/>
      <c r="DP808" s="17"/>
      <c r="DQ808" s="17"/>
      <c r="DR808" s="17"/>
      <c r="DS808" s="17"/>
      <c r="DT808" s="17"/>
      <c r="DU808" s="17"/>
      <c r="DV808" s="17"/>
      <c r="DW808" s="17"/>
    </row>
    <row r="809" spans="1:127" ht="18" customHeight="1">
      <c r="A809" s="16"/>
      <c r="B809" s="16"/>
      <c r="C809" s="16"/>
      <c r="D809" s="16"/>
      <c r="E809" s="16"/>
      <c r="F809" s="16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  <c r="BK809" s="17"/>
      <c r="BL809" s="17"/>
      <c r="BM809" s="17"/>
      <c r="BN809" s="17"/>
      <c r="BO809" s="17"/>
      <c r="BP809" s="17"/>
      <c r="BQ809" s="17"/>
      <c r="BR809" s="17"/>
      <c r="BS809" s="17"/>
      <c r="BT809" s="17"/>
      <c r="BU809" s="17"/>
      <c r="BV809" s="17"/>
      <c r="BW809" s="17"/>
      <c r="BX809" s="17"/>
      <c r="BY809" s="17"/>
      <c r="BZ809" s="17"/>
      <c r="CA809" s="17"/>
      <c r="CB809" s="17"/>
      <c r="CC809" s="17"/>
      <c r="CD809" s="17"/>
      <c r="CE809" s="17"/>
      <c r="CF809" s="17"/>
      <c r="CG809" s="17"/>
      <c r="CH809" s="17"/>
      <c r="CI809" s="17"/>
      <c r="CJ809" s="17"/>
      <c r="CK809" s="17"/>
      <c r="CL809" s="17"/>
      <c r="CM809" s="17"/>
      <c r="CN809" s="17"/>
      <c r="CO809" s="17"/>
      <c r="CP809" s="17"/>
      <c r="CQ809" s="17"/>
      <c r="CR809" s="17"/>
      <c r="CS809" s="17"/>
      <c r="CT809" s="17"/>
      <c r="CU809" s="17"/>
      <c r="CV809" s="17"/>
      <c r="CW809" s="17"/>
      <c r="CX809" s="17"/>
      <c r="CY809" s="17"/>
      <c r="CZ809" s="17"/>
      <c r="DA809" s="17"/>
      <c r="DB809" s="17"/>
      <c r="DC809" s="17"/>
      <c r="DD809" s="17"/>
      <c r="DE809" s="17"/>
      <c r="DF809" s="17"/>
      <c r="DG809" s="17"/>
      <c r="DH809" s="17"/>
      <c r="DI809" s="17"/>
      <c r="DJ809" s="17"/>
      <c r="DK809" s="17"/>
      <c r="DL809" s="17"/>
      <c r="DM809" s="17"/>
      <c r="DN809" s="17"/>
      <c r="DO809" s="17"/>
      <c r="DP809" s="17"/>
      <c r="DQ809" s="17"/>
      <c r="DR809" s="17"/>
      <c r="DS809" s="17"/>
      <c r="DT809" s="17"/>
      <c r="DU809" s="17"/>
      <c r="DV809" s="17"/>
      <c r="DW809" s="17"/>
    </row>
    <row r="810" spans="1:127" ht="18" customHeight="1">
      <c r="A810" s="16"/>
      <c r="B810" s="16"/>
      <c r="C810" s="16"/>
      <c r="D810" s="16"/>
      <c r="E810" s="16"/>
      <c r="F810" s="16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  <c r="BK810" s="17"/>
      <c r="BL810" s="17"/>
      <c r="BM810" s="17"/>
      <c r="BN810" s="17"/>
      <c r="BO810" s="17"/>
      <c r="BP810" s="17"/>
      <c r="BQ810" s="17"/>
      <c r="BR810" s="17"/>
      <c r="BS810" s="17"/>
      <c r="BT810" s="17"/>
      <c r="BU810" s="17"/>
      <c r="BV810" s="17"/>
      <c r="BW810" s="17"/>
      <c r="BX810" s="17"/>
      <c r="BY810" s="17"/>
      <c r="BZ810" s="17"/>
      <c r="CA810" s="17"/>
      <c r="CB810" s="17"/>
      <c r="CC810" s="17"/>
      <c r="CD810" s="17"/>
      <c r="CE810" s="17"/>
      <c r="CF810" s="17"/>
      <c r="CG810" s="17"/>
      <c r="CH810" s="17"/>
      <c r="CI810" s="17"/>
      <c r="CJ810" s="17"/>
      <c r="CK810" s="17"/>
      <c r="CL810" s="17"/>
      <c r="CM810" s="17"/>
      <c r="CN810" s="17"/>
      <c r="CO810" s="17"/>
      <c r="CP810" s="17"/>
      <c r="CQ810" s="17"/>
      <c r="CR810" s="17"/>
      <c r="CS810" s="17"/>
      <c r="CT810" s="17"/>
      <c r="CU810" s="17"/>
      <c r="CV810" s="17"/>
      <c r="CW810" s="17"/>
      <c r="CX810" s="17"/>
      <c r="CY810" s="17"/>
      <c r="CZ810" s="17"/>
      <c r="DA810" s="17"/>
      <c r="DB810" s="17"/>
      <c r="DC810" s="17"/>
      <c r="DD810" s="17"/>
      <c r="DE810" s="17"/>
      <c r="DF810" s="17"/>
      <c r="DG810" s="17"/>
      <c r="DH810" s="17"/>
      <c r="DI810" s="17"/>
      <c r="DJ810" s="17"/>
      <c r="DK810" s="17"/>
      <c r="DL810" s="17"/>
      <c r="DM810" s="17"/>
      <c r="DN810" s="17"/>
      <c r="DO810" s="17"/>
      <c r="DP810" s="17"/>
      <c r="DQ810" s="17"/>
      <c r="DR810" s="17"/>
      <c r="DS810" s="17"/>
      <c r="DT810" s="17"/>
      <c r="DU810" s="17"/>
      <c r="DV810" s="17"/>
      <c r="DW810" s="17"/>
    </row>
    <row r="811" spans="1:127" ht="18" customHeight="1">
      <c r="A811" s="16"/>
      <c r="B811" s="16"/>
      <c r="C811" s="16"/>
      <c r="D811" s="16"/>
      <c r="E811" s="16"/>
      <c r="F811" s="16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  <c r="BK811" s="17"/>
      <c r="BL811" s="17"/>
      <c r="BM811" s="17"/>
      <c r="BN811" s="17"/>
      <c r="BO811" s="17"/>
      <c r="BP811" s="17"/>
      <c r="BQ811" s="17"/>
      <c r="BR811" s="17"/>
      <c r="BS811" s="17"/>
      <c r="BT811" s="17"/>
      <c r="BU811" s="17"/>
      <c r="BV811" s="17"/>
      <c r="BW811" s="17"/>
      <c r="BX811" s="17"/>
      <c r="BY811" s="17"/>
      <c r="BZ811" s="17"/>
      <c r="CA811" s="17"/>
      <c r="CB811" s="17"/>
      <c r="CC811" s="17"/>
      <c r="CD811" s="17"/>
      <c r="CE811" s="17"/>
      <c r="CF811" s="17"/>
      <c r="CG811" s="17"/>
      <c r="CH811" s="17"/>
      <c r="CI811" s="17"/>
      <c r="CJ811" s="17"/>
      <c r="CK811" s="17"/>
      <c r="CL811" s="17"/>
      <c r="CM811" s="17"/>
      <c r="CN811" s="17"/>
      <c r="CO811" s="17"/>
      <c r="CP811" s="17"/>
      <c r="CQ811" s="17"/>
      <c r="CR811" s="17"/>
      <c r="CS811" s="17"/>
      <c r="CT811" s="17"/>
      <c r="CU811" s="17"/>
      <c r="CV811" s="17"/>
      <c r="CW811" s="17"/>
      <c r="CX811" s="17"/>
      <c r="CY811" s="17"/>
      <c r="CZ811" s="17"/>
      <c r="DA811" s="17"/>
      <c r="DB811" s="17"/>
      <c r="DC811" s="17"/>
      <c r="DD811" s="17"/>
      <c r="DE811" s="17"/>
      <c r="DF811" s="17"/>
      <c r="DG811" s="17"/>
      <c r="DH811" s="17"/>
      <c r="DI811" s="17"/>
      <c r="DJ811" s="17"/>
      <c r="DK811" s="17"/>
      <c r="DL811" s="17"/>
      <c r="DM811" s="17"/>
      <c r="DN811" s="17"/>
      <c r="DO811" s="17"/>
      <c r="DP811" s="17"/>
      <c r="DQ811" s="17"/>
      <c r="DR811" s="17"/>
      <c r="DS811" s="17"/>
      <c r="DT811" s="17"/>
      <c r="DU811" s="17"/>
      <c r="DV811" s="17"/>
      <c r="DW811" s="17"/>
    </row>
    <row r="812" spans="1:127" ht="18" customHeight="1">
      <c r="A812" s="16"/>
      <c r="B812" s="16"/>
      <c r="C812" s="16"/>
      <c r="D812" s="16"/>
      <c r="E812" s="16"/>
      <c r="F812" s="16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  <c r="CR812" s="17"/>
      <c r="CS812" s="17"/>
      <c r="CT812" s="17"/>
      <c r="CU812" s="17"/>
      <c r="CV812" s="17"/>
      <c r="CW812" s="17"/>
      <c r="CX812" s="17"/>
      <c r="CY812" s="17"/>
      <c r="CZ812" s="17"/>
      <c r="DA812" s="17"/>
      <c r="DB812" s="17"/>
      <c r="DC812" s="17"/>
      <c r="DD812" s="17"/>
      <c r="DE812" s="17"/>
      <c r="DF812" s="17"/>
      <c r="DG812" s="17"/>
      <c r="DH812" s="17"/>
      <c r="DI812" s="17"/>
      <c r="DJ812" s="17"/>
      <c r="DK812" s="17"/>
      <c r="DL812" s="17"/>
      <c r="DM812" s="17"/>
      <c r="DN812" s="17"/>
      <c r="DO812" s="17"/>
      <c r="DP812" s="17"/>
      <c r="DQ812" s="17"/>
      <c r="DR812" s="17"/>
      <c r="DS812" s="17"/>
      <c r="DT812" s="17"/>
      <c r="DU812" s="17"/>
      <c r="DV812" s="17"/>
      <c r="DW812" s="17"/>
    </row>
    <row r="813" spans="1:127" ht="18" customHeight="1">
      <c r="A813" s="16"/>
      <c r="B813" s="16"/>
      <c r="C813" s="16"/>
      <c r="D813" s="16"/>
      <c r="E813" s="16"/>
      <c r="F813" s="16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  <c r="CR813" s="17"/>
      <c r="CS813" s="17"/>
      <c r="CT813" s="17"/>
      <c r="CU813" s="17"/>
      <c r="CV813" s="17"/>
      <c r="CW813" s="17"/>
      <c r="CX813" s="17"/>
      <c r="CY813" s="17"/>
      <c r="CZ813" s="17"/>
      <c r="DA813" s="17"/>
      <c r="DB813" s="17"/>
      <c r="DC813" s="17"/>
      <c r="DD813" s="17"/>
      <c r="DE813" s="17"/>
      <c r="DF813" s="17"/>
      <c r="DG813" s="17"/>
      <c r="DH813" s="17"/>
      <c r="DI813" s="17"/>
      <c r="DJ813" s="17"/>
      <c r="DK813" s="17"/>
      <c r="DL813" s="17"/>
      <c r="DM813" s="17"/>
      <c r="DN813" s="17"/>
      <c r="DO813" s="17"/>
      <c r="DP813" s="17"/>
      <c r="DQ813" s="17"/>
      <c r="DR813" s="17"/>
      <c r="DS813" s="17"/>
      <c r="DT813" s="17"/>
      <c r="DU813" s="17"/>
      <c r="DV813" s="17"/>
      <c r="DW813" s="17"/>
    </row>
    <row r="814" spans="1:127" ht="18" customHeight="1">
      <c r="A814" s="16"/>
      <c r="B814" s="16"/>
      <c r="C814" s="16"/>
      <c r="D814" s="16"/>
      <c r="E814" s="16"/>
      <c r="F814" s="16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  <c r="BK814" s="17"/>
      <c r="BL814" s="17"/>
      <c r="BM814" s="17"/>
      <c r="BN814" s="17"/>
      <c r="BO814" s="17"/>
      <c r="BP814" s="17"/>
      <c r="BQ814" s="17"/>
      <c r="BR814" s="17"/>
      <c r="BS814" s="17"/>
      <c r="BT814" s="17"/>
      <c r="BU814" s="17"/>
      <c r="BV814" s="17"/>
      <c r="BW814" s="17"/>
      <c r="BX814" s="17"/>
      <c r="BY814" s="17"/>
      <c r="BZ814" s="17"/>
      <c r="CA814" s="17"/>
      <c r="CB814" s="17"/>
      <c r="CC814" s="17"/>
      <c r="CD814" s="17"/>
      <c r="CE814" s="17"/>
      <c r="CF814" s="17"/>
      <c r="CG814" s="17"/>
      <c r="CH814" s="17"/>
      <c r="CI814" s="17"/>
      <c r="CJ814" s="17"/>
      <c r="CK814" s="17"/>
      <c r="CL814" s="17"/>
      <c r="CM814" s="17"/>
      <c r="CN814" s="17"/>
      <c r="CO814" s="17"/>
      <c r="CP814" s="17"/>
      <c r="CQ814" s="17"/>
      <c r="CR814" s="17"/>
      <c r="CS814" s="17"/>
      <c r="CT814" s="17"/>
      <c r="CU814" s="17"/>
      <c r="CV814" s="17"/>
      <c r="CW814" s="17"/>
      <c r="CX814" s="17"/>
      <c r="CY814" s="17"/>
      <c r="CZ814" s="17"/>
      <c r="DA814" s="17"/>
      <c r="DB814" s="17"/>
      <c r="DC814" s="17"/>
      <c r="DD814" s="17"/>
      <c r="DE814" s="17"/>
      <c r="DF814" s="17"/>
      <c r="DG814" s="17"/>
      <c r="DH814" s="17"/>
      <c r="DI814" s="17"/>
      <c r="DJ814" s="17"/>
      <c r="DK814" s="17"/>
      <c r="DL814" s="17"/>
      <c r="DM814" s="17"/>
      <c r="DN814" s="17"/>
      <c r="DO814" s="17"/>
      <c r="DP814" s="17"/>
      <c r="DQ814" s="17"/>
      <c r="DR814" s="17"/>
      <c r="DS814" s="17"/>
      <c r="DT814" s="17"/>
      <c r="DU814" s="17"/>
      <c r="DV814" s="17"/>
      <c r="DW814" s="17"/>
    </row>
    <row r="815" spans="1:127" ht="18" customHeight="1">
      <c r="A815" s="16"/>
      <c r="B815" s="16"/>
      <c r="C815" s="16"/>
      <c r="D815" s="16"/>
      <c r="E815" s="16"/>
      <c r="F815" s="16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  <c r="CR815" s="17"/>
      <c r="CS815" s="17"/>
      <c r="CT815" s="17"/>
      <c r="CU815" s="17"/>
      <c r="CV815" s="17"/>
      <c r="CW815" s="17"/>
      <c r="CX815" s="17"/>
      <c r="CY815" s="17"/>
      <c r="CZ815" s="17"/>
      <c r="DA815" s="17"/>
      <c r="DB815" s="17"/>
      <c r="DC815" s="17"/>
      <c r="DD815" s="17"/>
      <c r="DE815" s="17"/>
      <c r="DF815" s="17"/>
      <c r="DG815" s="17"/>
      <c r="DH815" s="17"/>
      <c r="DI815" s="17"/>
      <c r="DJ815" s="17"/>
      <c r="DK815" s="17"/>
      <c r="DL815" s="17"/>
      <c r="DM815" s="17"/>
      <c r="DN815" s="17"/>
      <c r="DO815" s="17"/>
      <c r="DP815" s="17"/>
      <c r="DQ815" s="17"/>
      <c r="DR815" s="17"/>
      <c r="DS815" s="17"/>
      <c r="DT815" s="17"/>
      <c r="DU815" s="17"/>
      <c r="DV815" s="17"/>
      <c r="DW815" s="17"/>
    </row>
    <row r="816" spans="1:127" ht="18" customHeight="1">
      <c r="A816" s="16"/>
      <c r="B816" s="16"/>
      <c r="C816" s="16"/>
      <c r="D816" s="16"/>
      <c r="E816" s="16"/>
      <c r="F816" s="16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  <c r="CR816" s="17"/>
      <c r="CS816" s="17"/>
      <c r="CT816" s="17"/>
      <c r="CU816" s="17"/>
      <c r="CV816" s="17"/>
      <c r="CW816" s="17"/>
      <c r="CX816" s="17"/>
      <c r="CY816" s="17"/>
      <c r="CZ816" s="17"/>
      <c r="DA816" s="17"/>
      <c r="DB816" s="17"/>
      <c r="DC816" s="17"/>
      <c r="DD816" s="17"/>
      <c r="DE816" s="17"/>
      <c r="DF816" s="17"/>
      <c r="DG816" s="17"/>
      <c r="DH816" s="17"/>
      <c r="DI816" s="17"/>
      <c r="DJ816" s="17"/>
      <c r="DK816" s="17"/>
      <c r="DL816" s="17"/>
      <c r="DM816" s="17"/>
      <c r="DN816" s="17"/>
      <c r="DO816" s="17"/>
      <c r="DP816" s="17"/>
      <c r="DQ816" s="17"/>
      <c r="DR816" s="17"/>
      <c r="DS816" s="17"/>
      <c r="DT816" s="17"/>
      <c r="DU816" s="17"/>
      <c r="DV816" s="17"/>
      <c r="DW816" s="17"/>
    </row>
    <row r="817" spans="1:127" ht="18" customHeight="1">
      <c r="A817" s="16"/>
      <c r="B817" s="16"/>
      <c r="C817" s="16"/>
      <c r="D817" s="16"/>
      <c r="E817" s="16"/>
      <c r="F817" s="16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  <c r="BK817" s="17"/>
      <c r="BL817" s="17"/>
      <c r="BM817" s="17"/>
      <c r="BN817" s="17"/>
      <c r="BO817" s="17"/>
      <c r="BP817" s="17"/>
      <c r="BQ817" s="17"/>
      <c r="BR817" s="17"/>
      <c r="BS817" s="17"/>
      <c r="BT817" s="17"/>
      <c r="BU817" s="17"/>
      <c r="BV817" s="17"/>
      <c r="BW817" s="17"/>
      <c r="BX817" s="17"/>
      <c r="BY817" s="17"/>
      <c r="BZ817" s="17"/>
      <c r="CA817" s="17"/>
      <c r="CB817" s="17"/>
      <c r="CC817" s="17"/>
      <c r="CD817" s="17"/>
      <c r="CE817" s="17"/>
      <c r="CF817" s="17"/>
      <c r="CG817" s="17"/>
      <c r="CH817" s="17"/>
      <c r="CI817" s="17"/>
      <c r="CJ817" s="17"/>
      <c r="CK817" s="17"/>
      <c r="CL817" s="17"/>
      <c r="CM817" s="17"/>
      <c r="CN817" s="17"/>
      <c r="CO817" s="17"/>
      <c r="CP817" s="17"/>
      <c r="CQ817" s="17"/>
      <c r="CR817" s="17"/>
      <c r="CS817" s="17"/>
      <c r="CT817" s="17"/>
      <c r="CU817" s="17"/>
      <c r="CV817" s="17"/>
      <c r="CW817" s="17"/>
      <c r="CX817" s="17"/>
      <c r="CY817" s="17"/>
      <c r="CZ817" s="17"/>
      <c r="DA817" s="17"/>
      <c r="DB817" s="17"/>
      <c r="DC817" s="17"/>
      <c r="DD817" s="17"/>
      <c r="DE817" s="17"/>
      <c r="DF817" s="17"/>
      <c r="DG817" s="17"/>
      <c r="DH817" s="17"/>
      <c r="DI817" s="17"/>
      <c r="DJ817" s="17"/>
      <c r="DK817" s="17"/>
      <c r="DL817" s="17"/>
      <c r="DM817" s="17"/>
      <c r="DN817" s="17"/>
      <c r="DO817" s="17"/>
      <c r="DP817" s="17"/>
      <c r="DQ817" s="17"/>
      <c r="DR817" s="17"/>
      <c r="DS817" s="17"/>
      <c r="DT817" s="17"/>
      <c r="DU817" s="17"/>
      <c r="DV817" s="17"/>
      <c r="DW817" s="17"/>
    </row>
    <row r="818" spans="1:127" ht="18" customHeight="1">
      <c r="A818" s="16"/>
      <c r="B818" s="16"/>
      <c r="C818" s="16"/>
      <c r="D818" s="16"/>
      <c r="E818" s="16"/>
      <c r="F818" s="16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  <c r="BK818" s="17"/>
      <c r="BL818" s="17"/>
      <c r="BM818" s="17"/>
      <c r="BN818" s="17"/>
      <c r="BO818" s="17"/>
      <c r="BP818" s="17"/>
      <c r="BQ818" s="17"/>
      <c r="BR818" s="17"/>
      <c r="BS818" s="17"/>
      <c r="BT818" s="17"/>
      <c r="BU818" s="17"/>
      <c r="BV818" s="17"/>
      <c r="BW818" s="17"/>
      <c r="BX818" s="17"/>
      <c r="BY818" s="17"/>
      <c r="BZ818" s="17"/>
      <c r="CA818" s="17"/>
      <c r="CB818" s="17"/>
      <c r="CC818" s="17"/>
      <c r="CD818" s="17"/>
      <c r="CE818" s="17"/>
      <c r="CF818" s="17"/>
      <c r="CG818" s="17"/>
      <c r="CH818" s="17"/>
      <c r="CI818" s="17"/>
      <c r="CJ818" s="17"/>
      <c r="CK818" s="17"/>
      <c r="CL818" s="17"/>
      <c r="CM818" s="17"/>
      <c r="CN818" s="17"/>
      <c r="CO818" s="17"/>
      <c r="CP818" s="17"/>
      <c r="CQ818" s="17"/>
      <c r="CR818" s="17"/>
      <c r="CS818" s="17"/>
      <c r="CT818" s="17"/>
      <c r="CU818" s="17"/>
      <c r="CV818" s="17"/>
      <c r="CW818" s="17"/>
      <c r="CX818" s="17"/>
      <c r="CY818" s="17"/>
      <c r="CZ818" s="17"/>
      <c r="DA818" s="17"/>
      <c r="DB818" s="17"/>
      <c r="DC818" s="17"/>
      <c r="DD818" s="17"/>
      <c r="DE818" s="17"/>
      <c r="DF818" s="17"/>
      <c r="DG818" s="17"/>
      <c r="DH818" s="17"/>
      <c r="DI818" s="17"/>
      <c r="DJ818" s="17"/>
      <c r="DK818" s="17"/>
      <c r="DL818" s="17"/>
      <c r="DM818" s="17"/>
      <c r="DN818" s="17"/>
      <c r="DO818" s="17"/>
      <c r="DP818" s="17"/>
      <c r="DQ818" s="17"/>
      <c r="DR818" s="17"/>
      <c r="DS818" s="17"/>
      <c r="DT818" s="17"/>
      <c r="DU818" s="17"/>
      <c r="DV818" s="17"/>
      <c r="DW818" s="17"/>
    </row>
    <row r="819" spans="1:127" ht="18" customHeight="1">
      <c r="A819" s="16"/>
      <c r="B819" s="16"/>
      <c r="C819" s="16"/>
      <c r="D819" s="16"/>
      <c r="E819" s="16"/>
      <c r="F819" s="16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  <c r="BK819" s="17"/>
      <c r="BL819" s="17"/>
      <c r="BM819" s="17"/>
      <c r="BN819" s="17"/>
      <c r="BO819" s="17"/>
      <c r="BP819" s="17"/>
      <c r="BQ819" s="17"/>
      <c r="BR819" s="17"/>
      <c r="BS819" s="17"/>
      <c r="BT819" s="17"/>
      <c r="BU819" s="17"/>
      <c r="BV819" s="17"/>
      <c r="BW819" s="17"/>
      <c r="BX819" s="17"/>
      <c r="BY819" s="17"/>
      <c r="BZ819" s="17"/>
      <c r="CA819" s="17"/>
      <c r="CB819" s="17"/>
      <c r="CC819" s="17"/>
      <c r="CD819" s="17"/>
      <c r="CE819" s="17"/>
      <c r="CF819" s="17"/>
      <c r="CG819" s="17"/>
      <c r="CH819" s="17"/>
      <c r="CI819" s="17"/>
      <c r="CJ819" s="17"/>
      <c r="CK819" s="17"/>
      <c r="CL819" s="17"/>
      <c r="CM819" s="17"/>
      <c r="CN819" s="17"/>
      <c r="CO819" s="17"/>
      <c r="CP819" s="17"/>
      <c r="CQ819" s="17"/>
      <c r="CR819" s="17"/>
      <c r="CS819" s="17"/>
      <c r="CT819" s="17"/>
      <c r="CU819" s="17"/>
      <c r="CV819" s="17"/>
      <c r="CW819" s="17"/>
      <c r="CX819" s="17"/>
      <c r="CY819" s="17"/>
      <c r="CZ819" s="17"/>
      <c r="DA819" s="17"/>
      <c r="DB819" s="17"/>
      <c r="DC819" s="17"/>
      <c r="DD819" s="17"/>
      <c r="DE819" s="17"/>
      <c r="DF819" s="17"/>
      <c r="DG819" s="17"/>
      <c r="DH819" s="17"/>
      <c r="DI819" s="17"/>
      <c r="DJ819" s="17"/>
      <c r="DK819" s="17"/>
      <c r="DL819" s="17"/>
      <c r="DM819" s="17"/>
      <c r="DN819" s="17"/>
      <c r="DO819" s="17"/>
      <c r="DP819" s="17"/>
      <c r="DQ819" s="17"/>
      <c r="DR819" s="17"/>
      <c r="DS819" s="17"/>
      <c r="DT819" s="17"/>
      <c r="DU819" s="17"/>
      <c r="DV819" s="17"/>
      <c r="DW819" s="17"/>
    </row>
    <row r="820" spans="1:127" ht="18" customHeight="1">
      <c r="A820" s="16"/>
      <c r="B820" s="16"/>
      <c r="C820" s="16"/>
      <c r="D820" s="16"/>
      <c r="E820" s="16"/>
      <c r="F820" s="16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  <c r="BK820" s="17"/>
      <c r="BL820" s="17"/>
      <c r="BM820" s="17"/>
      <c r="BN820" s="17"/>
      <c r="BO820" s="17"/>
      <c r="BP820" s="17"/>
      <c r="BQ820" s="17"/>
      <c r="BR820" s="17"/>
      <c r="BS820" s="17"/>
      <c r="BT820" s="17"/>
      <c r="BU820" s="17"/>
      <c r="BV820" s="17"/>
      <c r="BW820" s="17"/>
      <c r="BX820" s="17"/>
      <c r="BY820" s="17"/>
      <c r="BZ820" s="17"/>
      <c r="CA820" s="17"/>
      <c r="CB820" s="17"/>
      <c r="CC820" s="17"/>
      <c r="CD820" s="17"/>
      <c r="CE820" s="17"/>
      <c r="CF820" s="17"/>
      <c r="CG820" s="17"/>
      <c r="CH820" s="17"/>
      <c r="CI820" s="17"/>
      <c r="CJ820" s="17"/>
      <c r="CK820" s="17"/>
      <c r="CL820" s="17"/>
      <c r="CM820" s="17"/>
      <c r="CN820" s="17"/>
      <c r="CO820" s="17"/>
      <c r="CP820" s="17"/>
      <c r="CQ820" s="17"/>
      <c r="CR820" s="17"/>
      <c r="CS820" s="17"/>
      <c r="CT820" s="17"/>
      <c r="CU820" s="17"/>
      <c r="CV820" s="17"/>
      <c r="CW820" s="17"/>
      <c r="CX820" s="17"/>
      <c r="CY820" s="17"/>
      <c r="CZ820" s="17"/>
      <c r="DA820" s="17"/>
      <c r="DB820" s="17"/>
      <c r="DC820" s="17"/>
      <c r="DD820" s="17"/>
      <c r="DE820" s="17"/>
      <c r="DF820" s="17"/>
      <c r="DG820" s="17"/>
      <c r="DH820" s="17"/>
      <c r="DI820" s="17"/>
      <c r="DJ820" s="17"/>
      <c r="DK820" s="17"/>
      <c r="DL820" s="17"/>
      <c r="DM820" s="17"/>
      <c r="DN820" s="17"/>
      <c r="DO820" s="17"/>
      <c r="DP820" s="17"/>
      <c r="DQ820" s="17"/>
      <c r="DR820" s="17"/>
      <c r="DS820" s="17"/>
      <c r="DT820" s="17"/>
      <c r="DU820" s="17"/>
      <c r="DV820" s="17"/>
      <c r="DW820" s="17"/>
    </row>
    <row r="821" spans="1:127" ht="18" customHeight="1">
      <c r="A821" s="16"/>
      <c r="B821" s="16"/>
      <c r="C821" s="16"/>
      <c r="D821" s="16"/>
      <c r="E821" s="16"/>
      <c r="F821" s="16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  <c r="BK821" s="17"/>
      <c r="BL821" s="17"/>
      <c r="BM821" s="17"/>
      <c r="BN821" s="17"/>
      <c r="BO821" s="17"/>
      <c r="BP821" s="17"/>
      <c r="BQ821" s="17"/>
      <c r="BR821" s="17"/>
      <c r="BS821" s="17"/>
      <c r="BT821" s="17"/>
      <c r="BU821" s="17"/>
      <c r="BV821" s="17"/>
      <c r="BW821" s="17"/>
      <c r="BX821" s="17"/>
      <c r="BY821" s="17"/>
      <c r="BZ821" s="17"/>
      <c r="CA821" s="17"/>
      <c r="CB821" s="17"/>
      <c r="CC821" s="17"/>
      <c r="CD821" s="17"/>
      <c r="CE821" s="17"/>
      <c r="CF821" s="17"/>
      <c r="CG821" s="17"/>
      <c r="CH821" s="17"/>
      <c r="CI821" s="17"/>
      <c r="CJ821" s="17"/>
      <c r="CK821" s="17"/>
      <c r="CL821" s="17"/>
      <c r="CM821" s="17"/>
      <c r="CN821" s="17"/>
      <c r="CO821" s="17"/>
      <c r="CP821" s="17"/>
      <c r="CQ821" s="17"/>
      <c r="CR821" s="17"/>
      <c r="CS821" s="17"/>
      <c r="CT821" s="17"/>
      <c r="CU821" s="17"/>
      <c r="CV821" s="17"/>
      <c r="CW821" s="17"/>
      <c r="CX821" s="17"/>
      <c r="CY821" s="17"/>
      <c r="CZ821" s="17"/>
      <c r="DA821" s="17"/>
      <c r="DB821" s="17"/>
      <c r="DC821" s="17"/>
      <c r="DD821" s="17"/>
      <c r="DE821" s="17"/>
      <c r="DF821" s="17"/>
      <c r="DG821" s="17"/>
      <c r="DH821" s="17"/>
      <c r="DI821" s="17"/>
      <c r="DJ821" s="17"/>
      <c r="DK821" s="17"/>
      <c r="DL821" s="17"/>
      <c r="DM821" s="17"/>
      <c r="DN821" s="17"/>
      <c r="DO821" s="17"/>
      <c r="DP821" s="17"/>
      <c r="DQ821" s="17"/>
      <c r="DR821" s="17"/>
      <c r="DS821" s="17"/>
      <c r="DT821" s="17"/>
      <c r="DU821" s="17"/>
      <c r="DV821" s="17"/>
      <c r="DW821" s="17"/>
    </row>
    <row r="822" spans="1:127" ht="18" customHeight="1">
      <c r="A822" s="16"/>
      <c r="B822" s="16"/>
      <c r="C822" s="16"/>
      <c r="D822" s="16"/>
      <c r="E822" s="16"/>
      <c r="F822" s="16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  <c r="BK822" s="17"/>
      <c r="BL822" s="17"/>
      <c r="BM822" s="17"/>
      <c r="BN822" s="17"/>
      <c r="BO822" s="17"/>
      <c r="BP822" s="17"/>
      <c r="BQ822" s="17"/>
      <c r="BR822" s="17"/>
      <c r="BS822" s="17"/>
      <c r="BT822" s="17"/>
      <c r="BU822" s="17"/>
      <c r="BV822" s="17"/>
      <c r="BW822" s="17"/>
      <c r="BX822" s="17"/>
      <c r="BY822" s="17"/>
      <c r="BZ822" s="17"/>
      <c r="CA822" s="17"/>
      <c r="CB822" s="17"/>
      <c r="CC822" s="17"/>
      <c r="CD822" s="17"/>
      <c r="CE822" s="17"/>
      <c r="CF822" s="17"/>
      <c r="CG822" s="17"/>
      <c r="CH822" s="17"/>
      <c r="CI822" s="17"/>
      <c r="CJ822" s="17"/>
      <c r="CK822" s="17"/>
      <c r="CL822" s="17"/>
      <c r="CM822" s="17"/>
      <c r="CN822" s="17"/>
      <c r="CO822" s="17"/>
      <c r="CP822" s="17"/>
      <c r="CQ822" s="17"/>
      <c r="CR822" s="17"/>
      <c r="CS822" s="17"/>
      <c r="CT822" s="17"/>
      <c r="CU822" s="17"/>
      <c r="CV822" s="17"/>
      <c r="CW822" s="17"/>
      <c r="CX822" s="17"/>
      <c r="CY822" s="17"/>
      <c r="CZ822" s="17"/>
      <c r="DA822" s="17"/>
      <c r="DB822" s="17"/>
      <c r="DC822" s="17"/>
      <c r="DD822" s="17"/>
      <c r="DE822" s="17"/>
      <c r="DF822" s="17"/>
      <c r="DG822" s="17"/>
      <c r="DH822" s="17"/>
      <c r="DI822" s="17"/>
      <c r="DJ822" s="17"/>
      <c r="DK822" s="17"/>
      <c r="DL822" s="17"/>
      <c r="DM822" s="17"/>
      <c r="DN822" s="17"/>
      <c r="DO822" s="17"/>
      <c r="DP822" s="17"/>
      <c r="DQ822" s="17"/>
      <c r="DR822" s="17"/>
      <c r="DS822" s="17"/>
      <c r="DT822" s="17"/>
      <c r="DU822" s="17"/>
      <c r="DV822" s="17"/>
      <c r="DW822" s="17"/>
    </row>
    <row r="823" spans="1:127" ht="18" customHeight="1">
      <c r="A823" s="16"/>
      <c r="B823" s="16"/>
      <c r="C823" s="16"/>
      <c r="D823" s="16"/>
      <c r="E823" s="16"/>
      <c r="F823" s="16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  <c r="CR823" s="17"/>
      <c r="CS823" s="17"/>
      <c r="CT823" s="17"/>
      <c r="CU823" s="17"/>
      <c r="CV823" s="17"/>
      <c r="CW823" s="17"/>
      <c r="CX823" s="17"/>
      <c r="CY823" s="17"/>
      <c r="CZ823" s="17"/>
      <c r="DA823" s="17"/>
      <c r="DB823" s="17"/>
      <c r="DC823" s="17"/>
      <c r="DD823" s="17"/>
      <c r="DE823" s="17"/>
      <c r="DF823" s="17"/>
      <c r="DG823" s="17"/>
      <c r="DH823" s="17"/>
      <c r="DI823" s="17"/>
      <c r="DJ823" s="17"/>
      <c r="DK823" s="17"/>
      <c r="DL823" s="17"/>
      <c r="DM823" s="17"/>
      <c r="DN823" s="17"/>
      <c r="DO823" s="17"/>
      <c r="DP823" s="17"/>
      <c r="DQ823" s="17"/>
      <c r="DR823" s="17"/>
      <c r="DS823" s="17"/>
      <c r="DT823" s="17"/>
      <c r="DU823" s="17"/>
      <c r="DV823" s="17"/>
      <c r="DW823" s="17"/>
    </row>
    <row r="824" spans="1:127" ht="18" customHeight="1">
      <c r="A824" s="16"/>
      <c r="B824" s="16"/>
      <c r="C824" s="16"/>
      <c r="D824" s="16"/>
      <c r="E824" s="16"/>
      <c r="F824" s="16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  <c r="BK824" s="17"/>
      <c r="BL824" s="17"/>
      <c r="BM824" s="17"/>
      <c r="BN824" s="17"/>
      <c r="BO824" s="17"/>
      <c r="BP824" s="17"/>
      <c r="BQ824" s="17"/>
      <c r="BR824" s="17"/>
      <c r="BS824" s="17"/>
      <c r="BT824" s="17"/>
      <c r="BU824" s="17"/>
      <c r="BV824" s="17"/>
      <c r="BW824" s="17"/>
      <c r="BX824" s="17"/>
      <c r="BY824" s="17"/>
      <c r="BZ824" s="17"/>
      <c r="CA824" s="17"/>
      <c r="CB824" s="17"/>
      <c r="CC824" s="17"/>
      <c r="CD824" s="17"/>
      <c r="CE824" s="17"/>
      <c r="CF824" s="17"/>
      <c r="CG824" s="17"/>
      <c r="CH824" s="17"/>
      <c r="CI824" s="17"/>
      <c r="CJ824" s="17"/>
      <c r="CK824" s="17"/>
      <c r="CL824" s="17"/>
      <c r="CM824" s="17"/>
      <c r="CN824" s="17"/>
      <c r="CO824" s="17"/>
      <c r="CP824" s="17"/>
      <c r="CQ824" s="17"/>
      <c r="CR824" s="17"/>
      <c r="CS824" s="17"/>
      <c r="CT824" s="17"/>
      <c r="CU824" s="17"/>
      <c r="CV824" s="17"/>
      <c r="CW824" s="17"/>
      <c r="CX824" s="17"/>
      <c r="CY824" s="17"/>
      <c r="CZ824" s="17"/>
      <c r="DA824" s="17"/>
      <c r="DB824" s="17"/>
      <c r="DC824" s="17"/>
      <c r="DD824" s="17"/>
      <c r="DE824" s="17"/>
      <c r="DF824" s="17"/>
      <c r="DG824" s="17"/>
      <c r="DH824" s="17"/>
      <c r="DI824" s="17"/>
      <c r="DJ824" s="17"/>
      <c r="DK824" s="17"/>
      <c r="DL824" s="17"/>
      <c r="DM824" s="17"/>
      <c r="DN824" s="17"/>
      <c r="DO824" s="17"/>
      <c r="DP824" s="17"/>
      <c r="DQ824" s="17"/>
      <c r="DR824" s="17"/>
      <c r="DS824" s="17"/>
      <c r="DT824" s="17"/>
      <c r="DU824" s="17"/>
      <c r="DV824" s="17"/>
      <c r="DW824" s="17"/>
    </row>
    <row r="825" spans="1:127" ht="18" customHeight="1">
      <c r="A825" s="16"/>
      <c r="B825" s="16"/>
      <c r="C825" s="16"/>
      <c r="D825" s="16"/>
      <c r="E825" s="16"/>
      <c r="F825" s="16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  <c r="BK825" s="17"/>
      <c r="BL825" s="17"/>
      <c r="BM825" s="17"/>
      <c r="BN825" s="17"/>
      <c r="BO825" s="17"/>
      <c r="BP825" s="17"/>
      <c r="BQ825" s="17"/>
      <c r="BR825" s="17"/>
      <c r="BS825" s="17"/>
      <c r="BT825" s="17"/>
      <c r="BU825" s="17"/>
      <c r="BV825" s="17"/>
      <c r="BW825" s="17"/>
      <c r="BX825" s="17"/>
      <c r="BY825" s="17"/>
      <c r="BZ825" s="17"/>
      <c r="CA825" s="17"/>
      <c r="CB825" s="17"/>
      <c r="CC825" s="17"/>
      <c r="CD825" s="17"/>
      <c r="CE825" s="17"/>
      <c r="CF825" s="17"/>
      <c r="CG825" s="17"/>
      <c r="CH825" s="17"/>
      <c r="CI825" s="17"/>
      <c r="CJ825" s="17"/>
      <c r="CK825" s="17"/>
      <c r="CL825" s="17"/>
      <c r="CM825" s="17"/>
      <c r="CN825" s="17"/>
      <c r="CO825" s="17"/>
      <c r="CP825" s="17"/>
      <c r="CQ825" s="17"/>
      <c r="CR825" s="17"/>
      <c r="CS825" s="17"/>
      <c r="CT825" s="17"/>
      <c r="CU825" s="17"/>
      <c r="CV825" s="17"/>
      <c r="CW825" s="17"/>
      <c r="CX825" s="17"/>
      <c r="CY825" s="17"/>
      <c r="CZ825" s="17"/>
      <c r="DA825" s="17"/>
      <c r="DB825" s="17"/>
      <c r="DC825" s="17"/>
      <c r="DD825" s="17"/>
      <c r="DE825" s="17"/>
      <c r="DF825" s="17"/>
      <c r="DG825" s="17"/>
      <c r="DH825" s="17"/>
      <c r="DI825" s="17"/>
      <c r="DJ825" s="17"/>
      <c r="DK825" s="17"/>
      <c r="DL825" s="17"/>
      <c r="DM825" s="17"/>
      <c r="DN825" s="17"/>
      <c r="DO825" s="17"/>
      <c r="DP825" s="17"/>
      <c r="DQ825" s="17"/>
      <c r="DR825" s="17"/>
      <c r="DS825" s="17"/>
      <c r="DT825" s="17"/>
      <c r="DU825" s="17"/>
      <c r="DV825" s="17"/>
      <c r="DW825" s="17"/>
    </row>
    <row r="826" spans="1:127" ht="18" customHeight="1">
      <c r="A826" s="16"/>
      <c r="B826" s="16"/>
      <c r="C826" s="16"/>
      <c r="D826" s="16"/>
      <c r="E826" s="16"/>
      <c r="F826" s="16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  <c r="BK826" s="17"/>
      <c r="BL826" s="17"/>
      <c r="BM826" s="17"/>
      <c r="BN826" s="17"/>
      <c r="BO826" s="17"/>
      <c r="BP826" s="17"/>
      <c r="BQ826" s="17"/>
      <c r="BR826" s="17"/>
      <c r="BS826" s="17"/>
      <c r="BT826" s="17"/>
      <c r="BU826" s="17"/>
      <c r="BV826" s="17"/>
      <c r="BW826" s="17"/>
      <c r="BX826" s="17"/>
      <c r="BY826" s="17"/>
      <c r="BZ826" s="17"/>
      <c r="CA826" s="17"/>
      <c r="CB826" s="17"/>
      <c r="CC826" s="17"/>
      <c r="CD826" s="17"/>
      <c r="CE826" s="17"/>
      <c r="CF826" s="17"/>
      <c r="CG826" s="17"/>
      <c r="CH826" s="17"/>
      <c r="CI826" s="17"/>
      <c r="CJ826" s="17"/>
      <c r="CK826" s="17"/>
      <c r="CL826" s="17"/>
      <c r="CM826" s="17"/>
      <c r="CN826" s="17"/>
      <c r="CO826" s="17"/>
      <c r="CP826" s="17"/>
      <c r="CQ826" s="17"/>
      <c r="CR826" s="17"/>
      <c r="CS826" s="17"/>
      <c r="CT826" s="17"/>
      <c r="CU826" s="17"/>
      <c r="CV826" s="17"/>
      <c r="CW826" s="17"/>
      <c r="CX826" s="17"/>
      <c r="CY826" s="17"/>
      <c r="CZ826" s="17"/>
      <c r="DA826" s="17"/>
      <c r="DB826" s="17"/>
      <c r="DC826" s="17"/>
      <c r="DD826" s="17"/>
      <c r="DE826" s="17"/>
      <c r="DF826" s="17"/>
      <c r="DG826" s="17"/>
      <c r="DH826" s="17"/>
      <c r="DI826" s="17"/>
      <c r="DJ826" s="17"/>
      <c r="DK826" s="17"/>
      <c r="DL826" s="17"/>
      <c r="DM826" s="17"/>
      <c r="DN826" s="17"/>
      <c r="DO826" s="17"/>
      <c r="DP826" s="17"/>
      <c r="DQ826" s="17"/>
      <c r="DR826" s="17"/>
      <c r="DS826" s="17"/>
      <c r="DT826" s="17"/>
      <c r="DU826" s="17"/>
      <c r="DV826" s="17"/>
      <c r="DW826" s="17"/>
    </row>
    <row r="827" spans="1:127" ht="18" customHeight="1">
      <c r="A827" s="16"/>
      <c r="B827" s="16"/>
      <c r="C827" s="16"/>
      <c r="D827" s="16"/>
      <c r="E827" s="16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  <c r="CR827" s="17"/>
      <c r="CS827" s="17"/>
      <c r="CT827" s="17"/>
      <c r="CU827" s="17"/>
      <c r="CV827" s="17"/>
      <c r="CW827" s="17"/>
      <c r="CX827" s="17"/>
      <c r="CY827" s="17"/>
      <c r="CZ827" s="17"/>
      <c r="DA827" s="17"/>
      <c r="DB827" s="17"/>
      <c r="DC827" s="17"/>
      <c r="DD827" s="17"/>
      <c r="DE827" s="17"/>
      <c r="DF827" s="17"/>
      <c r="DG827" s="17"/>
      <c r="DH827" s="17"/>
      <c r="DI827" s="17"/>
      <c r="DJ827" s="17"/>
      <c r="DK827" s="17"/>
      <c r="DL827" s="17"/>
      <c r="DM827" s="17"/>
      <c r="DN827" s="17"/>
      <c r="DO827" s="17"/>
      <c r="DP827" s="17"/>
      <c r="DQ827" s="17"/>
      <c r="DR827" s="17"/>
      <c r="DS827" s="17"/>
      <c r="DT827" s="17"/>
      <c r="DU827" s="17"/>
      <c r="DV827" s="17"/>
      <c r="DW827" s="17"/>
    </row>
    <row r="828" spans="1:127" ht="18" customHeight="1">
      <c r="A828" s="16"/>
      <c r="B828" s="16"/>
      <c r="C828" s="16"/>
      <c r="D828" s="16"/>
      <c r="E828" s="16"/>
      <c r="F828" s="16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  <c r="CR828" s="17"/>
      <c r="CS828" s="17"/>
      <c r="CT828" s="17"/>
      <c r="CU828" s="17"/>
      <c r="CV828" s="17"/>
      <c r="CW828" s="17"/>
      <c r="CX828" s="17"/>
      <c r="CY828" s="17"/>
      <c r="CZ828" s="17"/>
      <c r="DA828" s="17"/>
      <c r="DB828" s="17"/>
      <c r="DC828" s="17"/>
      <c r="DD828" s="17"/>
      <c r="DE828" s="17"/>
      <c r="DF828" s="17"/>
      <c r="DG828" s="17"/>
      <c r="DH828" s="17"/>
      <c r="DI828" s="17"/>
      <c r="DJ828" s="17"/>
      <c r="DK828" s="17"/>
      <c r="DL828" s="17"/>
      <c r="DM828" s="17"/>
      <c r="DN828" s="17"/>
      <c r="DO828" s="17"/>
      <c r="DP828" s="17"/>
      <c r="DQ828" s="17"/>
      <c r="DR828" s="17"/>
      <c r="DS828" s="17"/>
      <c r="DT828" s="17"/>
      <c r="DU828" s="17"/>
      <c r="DV828" s="17"/>
      <c r="DW828" s="17"/>
    </row>
    <row r="829" spans="1:127" ht="18" customHeight="1">
      <c r="A829" s="16"/>
      <c r="B829" s="16"/>
      <c r="C829" s="16"/>
      <c r="D829" s="16"/>
      <c r="E829" s="16"/>
      <c r="F829" s="16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  <c r="BK829" s="17"/>
      <c r="BL829" s="17"/>
      <c r="BM829" s="17"/>
      <c r="BN829" s="17"/>
      <c r="BO829" s="17"/>
      <c r="BP829" s="17"/>
      <c r="BQ829" s="17"/>
      <c r="BR829" s="17"/>
      <c r="BS829" s="17"/>
      <c r="BT829" s="17"/>
      <c r="BU829" s="17"/>
      <c r="BV829" s="17"/>
      <c r="BW829" s="17"/>
      <c r="BX829" s="17"/>
      <c r="BY829" s="17"/>
      <c r="BZ829" s="17"/>
      <c r="CA829" s="17"/>
      <c r="CB829" s="17"/>
      <c r="CC829" s="17"/>
      <c r="CD829" s="17"/>
      <c r="CE829" s="17"/>
      <c r="CF829" s="17"/>
      <c r="CG829" s="17"/>
      <c r="CH829" s="17"/>
      <c r="CI829" s="17"/>
      <c r="CJ829" s="17"/>
      <c r="CK829" s="17"/>
      <c r="CL829" s="17"/>
      <c r="CM829" s="17"/>
      <c r="CN829" s="17"/>
      <c r="CO829" s="17"/>
      <c r="CP829" s="17"/>
      <c r="CQ829" s="17"/>
      <c r="CR829" s="17"/>
      <c r="CS829" s="17"/>
      <c r="CT829" s="17"/>
      <c r="CU829" s="17"/>
      <c r="CV829" s="17"/>
      <c r="CW829" s="17"/>
      <c r="CX829" s="17"/>
      <c r="CY829" s="17"/>
      <c r="CZ829" s="17"/>
      <c r="DA829" s="17"/>
      <c r="DB829" s="17"/>
      <c r="DC829" s="17"/>
      <c r="DD829" s="17"/>
      <c r="DE829" s="17"/>
      <c r="DF829" s="17"/>
      <c r="DG829" s="17"/>
      <c r="DH829" s="17"/>
      <c r="DI829" s="17"/>
      <c r="DJ829" s="17"/>
      <c r="DK829" s="17"/>
      <c r="DL829" s="17"/>
      <c r="DM829" s="17"/>
      <c r="DN829" s="17"/>
      <c r="DO829" s="17"/>
      <c r="DP829" s="17"/>
      <c r="DQ829" s="17"/>
      <c r="DR829" s="17"/>
      <c r="DS829" s="17"/>
      <c r="DT829" s="17"/>
      <c r="DU829" s="17"/>
      <c r="DV829" s="17"/>
      <c r="DW829" s="17"/>
    </row>
    <row r="830" spans="1:127" ht="18" customHeight="1">
      <c r="A830" s="16"/>
      <c r="B830" s="16"/>
      <c r="C830" s="16"/>
      <c r="D830" s="16"/>
      <c r="E830" s="16"/>
      <c r="F830" s="16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  <c r="BK830" s="17"/>
      <c r="BL830" s="17"/>
      <c r="BM830" s="17"/>
      <c r="BN830" s="17"/>
      <c r="BO830" s="17"/>
      <c r="BP830" s="17"/>
      <c r="BQ830" s="17"/>
      <c r="BR830" s="17"/>
      <c r="BS830" s="17"/>
      <c r="BT830" s="17"/>
      <c r="BU830" s="17"/>
      <c r="BV830" s="17"/>
      <c r="BW830" s="17"/>
      <c r="BX830" s="17"/>
      <c r="BY830" s="17"/>
      <c r="BZ830" s="17"/>
      <c r="CA830" s="17"/>
      <c r="CB830" s="17"/>
      <c r="CC830" s="17"/>
      <c r="CD830" s="17"/>
      <c r="CE830" s="17"/>
      <c r="CF830" s="17"/>
      <c r="CG830" s="17"/>
      <c r="CH830" s="17"/>
      <c r="CI830" s="17"/>
      <c r="CJ830" s="17"/>
      <c r="CK830" s="17"/>
      <c r="CL830" s="17"/>
      <c r="CM830" s="17"/>
      <c r="CN830" s="17"/>
      <c r="CO830" s="17"/>
      <c r="CP830" s="17"/>
      <c r="CQ830" s="17"/>
      <c r="CR830" s="17"/>
      <c r="CS830" s="17"/>
      <c r="CT830" s="17"/>
      <c r="CU830" s="17"/>
      <c r="CV830" s="17"/>
      <c r="CW830" s="17"/>
      <c r="CX830" s="17"/>
      <c r="CY830" s="17"/>
      <c r="CZ830" s="17"/>
      <c r="DA830" s="17"/>
      <c r="DB830" s="17"/>
      <c r="DC830" s="17"/>
      <c r="DD830" s="17"/>
      <c r="DE830" s="17"/>
      <c r="DF830" s="17"/>
      <c r="DG830" s="17"/>
      <c r="DH830" s="17"/>
      <c r="DI830" s="17"/>
      <c r="DJ830" s="17"/>
      <c r="DK830" s="17"/>
      <c r="DL830" s="17"/>
      <c r="DM830" s="17"/>
      <c r="DN830" s="17"/>
      <c r="DO830" s="17"/>
      <c r="DP830" s="17"/>
      <c r="DQ830" s="17"/>
      <c r="DR830" s="17"/>
      <c r="DS830" s="17"/>
      <c r="DT830" s="17"/>
      <c r="DU830" s="17"/>
      <c r="DV830" s="17"/>
      <c r="DW830" s="17"/>
    </row>
    <row r="831" spans="1:127" ht="18" customHeight="1">
      <c r="A831" s="16"/>
      <c r="B831" s="16"/>
      <c r="C831" s="16"/>
      <c r="D831" s="16"/>
      <c r="E831" s="16"/>
      <c r="F831" s="16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  <c r="CR831" s="17"/>
      <c r="CS831" s="17"/>
      <c r="CT831" s="17"/>
      <c r="CU831" s="17"/>
      <c r="CV831" s="17"/>
      <c r="CW831" s="17"/>
      <c r="CX831" s="17"/>
      <c r="CY831" s="17"/>
      <c r="CZ831" s="17"/>
      <c r="DA831" s="17"/>
      <c r="DB831" s="17"/>
      <c r="DC831" s="17"/>
      <c r="DD831" s="17"/>
      <c r="DE831" s="17"/>
      <c r="DF831" s="17"/>
      <c r="DG831" s="17"/>
      <c r="DH831" s="17"/>
      <c r="DI831" s="17"/>
      <c r="DJ831" s="17"/>
      <c r="DK831" s="17"/>
      <c r="DL831" s="17"/>
      <c r="DM831" s="17"/>
      <c r="DN831" s="17"/>
      <c r="DO831" s="17"/>
      <c r="DP831" s="17"/>
      <c r="DQ831" s="17"/>
      <c r="DR831" s="17"/>
      <c r="DS831" s="17"/>
      <c r="DT831" s="17"/>
      <c r="DU831" s="17"/>
      <c r="DV831" s="17"/>
      <c r="DW831" s="17"/>
    </row>
    <row r="832" spans="1:127" ht="18" customHeight="1">
      <c r="A832" s="16"/>
      <c r="B832" s="16"/>
      <c r="C832" s="16"/>
      <c r="D832" s="16"/>
      <c r="E832" s="16"/>
      <c r="F832" s="16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  <c r="CR832" s="17"/>
      <c r="CS832" s="17"/>
      <c r="CT832" s="17"/>
      <c r="CU832" s="17"/>
      <c r="CV832" s="17"/>
      <c r="CW832" s="17"/>
      <c r="CX832" s="17"/>
      <c r="CY832" s="17"/>
      <c r="CZ832" s="17"/>
      <c r="DA832" s="17"/>
      <c r="DB832" s="17"/>
      <c r="DC832" s="17"/>
      <c r="DD832" s="17"/>
      <c r="DE832" s="17"/>
      <c r="DF832" s="17"/>
      <c r="DG832" s="17"/>
      <c r="DH832" s="17"/>
      <c r="DI832" s="17"/>
      <c r="DJ832" s="17"/>
      <c r="DK832" s="17"/>
      <c r="DL832" s="17"/>
      <c r="DM832" s="17"/>
      <c r="DN832" s="17"/>
      <c r="DO832" s="17"/>
      <c r="DP832" s="17"/>
      <c r="DQ832" s="17"/>
      <c r="DR832" s="17"/>
      <c r="DS832" s="17"/>
      <c r="DT832" s="17"/>
      <c r="DU832" s="17"/>
      <c r="DV832" s="17"/>
      <c r="DW832" s="17"/>
    </row>
    <row r="833" spans="1:127" ht="18" customHeight="1">
      <c r="A833" s="16"/>
      <c r="B833" s="16"/>
      <c r="C833" s="16"/>
      <c r="D833" s="16"/>
      <c r="E833" s="16"/>
      <c r="F833" s="16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  <c r="CR833" s="17"/>
      <c r="CS833" s="17"/>
      <c r="CT833" s="17"/>
      <c r="CU833" s="17"/>
      <c r="CV833" s="17"/>
      <c r="CW833" s="17"/>
      <c r="CX833" s="17"/>
      <c r="CY833" s="17"/>
      <c r="CZ833" s="17"/>
      <c r="DA833" s="17"/>
      <c r="DB833" s="17"/>
      <c r="DC833" s="17"/>
      <c r="DD833" s="17"/>
      <c r="DE833" s="17"/>
      <c r="DF833" s="17"/>
      <c r="DG833" s="17"/>
      <c r="DH833" s="17"/>
      <c r="DI833" s="17"/>
      <c r="DJ833" s="17"/>
      <c r="DK833" s="17"/>
      <c r="DL833" s="17"/>
      <c r="DM833" s="17"/>
      <c r="DN833" s="17"/>
      <c r="DO833" s="17"/>
      <c r="DP833" s="17"/>
      <c r="DQ833" s="17"/>
      <c r="DR833" s="17"/>
      <c r="DS833" s="17"/>
      <c r="DT833" s="17"/>
      <c r="DU833" s="17"/>
      <c r="DV833" s="17"/>
      <c r="DW833" s="17"/>
    </row>
    <row r="834" spans="1:127" ht="18" customHeight="1">
      <c r="A834" s="16"/>
      <c r="B834" s="16"/>
      <c r="C834" s="16"/>
      <c r="D834" s="16"/>
      <c r="E834" s="16"/>
      <c r="F834" s="16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  <c r="CR834" s="17"/>
      <c r="CS834" s="17"/>
      <c r="CT834" s="17"/>
      <c r="CU834" s="17"/>
      <c r="CV834" s="17"/>
      <c r="CW834" s="17"/>
      <c r="CX834" s="17"/>
      <c r="CY834" s="17"/>
      <c r="CZ834" s="17"/>
      <c r="DA834" s="17"/>
      <c r="DB834" s="17"/>
      <c r="DC834" s="17"/>
      <c r="DD834" s="17"/>
      <c r="DE834" s="17"/>
      <c r="DF834" s="17"/>
      <c r="DG834" s="17"/>
      <c r="DH834" s="17"/>
      <c r="DI834" s="17"/>
      <c r="DJ834" s="17"/>
      <c r="DK834" s="17"/>
      <c r="DL834" s="17"/>
      <c r="DM834" s="17"/>
      <c r="DN834" s="17"/>
      <c r="DO834" s="17"/>
      <c r="DP834" s="17"/>
      <c r="DQ834" s="17"/>
      <c r="DR834" s="17"/>
      <c r="DS834" s="17"/>
      <c r="DT834" s="17"/>
      <c r="DU834" s="17"/>
      <c r="DV834" s="17"/>
      <c r="DW834" s="17"/>
    </row>
    <row r="835" spans="1:127" ht="18" customHeight="1">
      <c r="A835" s="16"/>
      <c r="B835" s="16"/>
      <c r="C835" s="16"/>
      <c r="D835" s="16"/>
      <c r="E835" s="16"/>
      <c r="F835" s="16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  <c r="CR835" s="17"/>
      <c r="CS835" s="17"/>
      <c r="CT835" s="17"/>
      <c r="CU835" s="17"/>
      <c r="CV835" s="17"/>
      <c r="CW835" s="17"/>
      <c r="CX835" s="17"/>
      <c r="CY835" s="17"/>
      <c r="CZ835" s="17"/>
      <c r="DA835" s="17"/>
      <c r="DB835" s="17"/>
      <c r="DC835" s="17"/>
      <c r="DD835" s="17"/>
      <c r="DE835" s="17"/>
      <c r="DF835" s="17"/>
      <c r="DG835" s="17"/>
      <c r="DH835" s="17"/>
      <c r="DI835" s="17"/>
      <c r="DJ835" s="17"/>
      <c r="DK835" s="17"/>
      <c r="DL835" s="17"/>
      <c r="DM835" s="17"/>
      <c r="DN835" s="17"/>
      <c r="DO835" s="17"/>
      <c r="DP835" s="17"/>
      <c r="DQ835" s="17"/>
      <c r="DR835" s="17"/>
      <c r="DS835" s="17"/>
      <c r="DT835" s="17"/>
      <c r="DU835" s="17"/>
      <c r="DV835" s="17"/>
      <c r="DW835" s="17"/>
    </row>
    <row r="836" spans="1:127" ht="18" customHeight="1">
      <c r="A836" s="16"/>
      <c r="B836" s="16"/>
      <c r="C836" s="16"/>
      <c r="D836" s="16"/>
      <c r="E836" s="16"/>
      <c r="F836" s="16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  <c r="CR836" s="17"/>
      <c r="CS836" s="17"/>
      <c r="CT836" s="17"/>
      <c r="CU836" s="17"/>
      <c r="CV836" s="17"/>
      <c r="CW836" s="17"/>
      <c r="CX836" s="17"/>
      <c r="CY836" s="17"/>
      <c r="CZ836" s="17"/>
      <c r="DA836" s="17"/>
      <c r="DB836" s="17"/>
      <c r="DC836" s="17"/>
      <c r="DD836" s="17"/>
      <c r="DE836" s="17"/>
      <c r="DF836" s="17"/>
      <c r="DG836" s="17"/>
      <c r="DH836" s="17"/>
      <c r="DI836" s="17"/>
      <c r="DJ836" s="17"/>
      <c r="DK836" s="17"/>
      <c r="DL836" s="17"/>
      <c r="DM836" s="17"/>
      <c r="DN836" s="17"/>
      <c r="DO836" s="17"/>
      <c r="DP836" s="17"/>
      <c r="DQ836" s="17"/>
      <c r="DR836" s="17"/>
      <c r="DS836" s="17"/>
      <c r="DT836" s="17"/>
      <c r="DU836" s="17"/>
      <c r="DV836" s="17"/>
      <c r="DW836" s="17"/>
    </row>
    <row r="837" spans="1:127" ht="18" customHeight="1">
      <c r="A837" s="16"/>
      <c r="B837" s="16"/>
      <c r="C837" s="16"/>
      <c r="D837" s="16"/>
      <c r="E837" s="16"/>
      <c r="F837" s="16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  <c r="CR837" s="17"/>
      <c r="CS837" s="17"/>
      <c r="CT837" s="17"/>
      <c r="CU837" s="17"/>
      <c r="CV837" s="17"/>
      <c r="CW837" s="17"/>
      <c r="CX837" s="17"/>
      <c r="CY837" s="17"/>
      <c r="CZ837" s="17"/>
      <c r="DA837" s="17"/>
      <c r="DB837" s="17"/>
      <c r="DC837" s="17"/>
      <c r="DD837" s="17"/>
      <c r="DE837" s="17"/>
      <c r="DF837" s="17"/>
      <c r="DG837" s="17"/>
      <c r="DH837" s="17"/>
      <c r="DI837" s="17"/>
      <c r="DJ837" s="17"/>
      <c r="DK837" s="17"/>
      <c r="DL837" s="17"/>
      <c r="DM837" s="17"/>
      <c r="DN837" s="17"/>
      <c r="DO837" s="17"/>
      <c r="DP837" s="17"/>
      <c r="DQ837" s="17"/>
      <c r="DR837" s="17"/>
      <c r="DS837" s="17"/>
      <c r="DT837" s="17"/>
      <c r="DU837" s="17"/>
      <c r="DV837" s="17"/>
      <c r="DW837" s="17"/>
    </row>
    <row r="838" spans="1:127" ht="18" customHeight="1">
      <c r="A838" s="16"/>
      <c r="B838" s="16"/>
      <c r="C838" s="16"/>
      <c r="D838" s="16"/>
      <c r="E838" s="16"/>
      <c r="F838" s="16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  <c r="BK838" s="17"/>
      <c r="BL838" s="17"/>
      <c r="BM838" s="17"/>
      <c r="BN838" s="17"/>
      <c r="BO838" s="17"/>
      <c r="BP838" s="17"/>
      <c r="BQ838" s="17"/>
      <c r="BR838" s="17"/>
      <c r="BS838" s="17"/>
      <c r="BT838" s="17"/>
      <c r="BU838" s="17"/>
      <c r="BV838" s="17"/>
      <c r="BW838" s="17"/>
      <c r="BX838" s="17"/>
      <c r="BY838" s="17"/>
      <c r="BZ838" s="17"/>
      <c r="CA838" s="17"/>
      <c r="CB838" s="17"/>
      <c r="CC838" s="17"/>
      <c r="CD838" s="17"/>
      <c r="CE838" s="17"/>
      <c r="CF838" s="17"/>
      <c r="CG838" s="17"/>
      <c r="CH838" s="17"/>
      <c r="CI838" s="17"/>
      <c r="CJ838" s="17"/>
      <c r="CK838" s="17"/>
      <c r="CL838" s="17"/>
      <c r="CM838" s="17"/>
      <c r="CN838" s="17"/>
      <c r="CO838" s="17"/>
      <c r="CP838" s="17"/>
      <c r="CQ838" s="17"/>
      <c r="CR838" s="17"/>
      <c r="CS838" s="17"/>
      <c r="CT838" s="17"/>
      <c r="CU838" s="17"/>
      <c r="CV838" s="17"/>
      <c r="CW838" s="17"/>
      <c r="CX838" s="17"/>
      <c r="CY838" s="17"/>
      <c r="CZ838" s="17"/>
      <c r="DA838" s="17"/>
      <c r="DB838" s="17"/>
      <c r="DC838" s="17"/>
      <c r="DD838" s="17"/>
      <c r="DE838" s="17"/>
      <c r="DF838" s="17"/>
      <c r="DG838" s="17"/>
      <c r="DH838" s="17"/>
      <c r="DI838" s="17"/>
      <c r="DJ838" s="17"/>
      <c r="DK838" s="17"/>
      <c r="DL838" s="17"/>
      <c r="DM838" s="17"/>
      <c r="DN838" s="17"/>
      <c r="DO838" s="17"/>
      <c r="DP838" s="17"/>
      <c r="DQ838" s="17"/>
      <c r="DR838" s="17"/>
      <c r="DS838" s="17"/>
      <c r="DT838" s="17"/>
      <c r="DU838" s="17"/>
      <c r="DV838" s="17"/>
      <c r="DW838" s="17"/>
    </row>
    <row r="839" spans="1:127" ht="18" customHeight="1">
      <c r="A839" s="16"/>
      <c r="B839" s="16"/>
      <c r="C839" s="16"/>
      <c r="D839" s="16"/>
      <c r="E839" s="16"/>
      <c r="F839" s="16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  <c r="CR839" s="17"/>
      <c r="CS839" s="17"/>
      <c r="CT839" s="17"/>
      <c r="CU839" s="17"/>
      <c r="CV839" s="17"/>
      <c r="CW839" s="17"/>
      <c r="CX839" s="17"/>
      <c r="CY839" s="17"/>
      <c r="CZ839" s="17"/>
      <c r="DA839" s="17"/>
      <c r="DB839" s="17"/>
      <c r="DC839" s="17"/>
      <c r="DD839" s="17"/>
      <c r="DE839" s="17"/>
      <c r="DF839" s="17"/>
      <c r="DG839" s="17"/>
      <c r="DH839" s="17"/>
      <c r="DI839" s="17"/>
      <c r="DJ839" s="17"/>
      <c r="DK839" s="17"/>
      <c r="DL839" s="17"/>
      <c r="DM839" s="17"/>
      <c r="DN839" s="17"/>
      <c r="DO839" s="17"/>
      <c r="DP839" s="17"/>
      <c r="DQ839" s="17"/>
      <c r="DR839" s="17"/>
      <c r="DS839" s="17"/>
      <c r="DT839" s="17"/>
      <c r="DU839" s="17"/>
      <c r="DV839" s="17"/>
      <c r="DW839" s="17"/>
    </row>
    <row r="840" spans="1:127" ht="18" customHeight="1">
      <c r="A840" s="16"/>
      <c r="B840" s="16"/>
      <c r="C840" s="16"/>
      <c r="D840" s="16"/>
      <c r="E840" s="16"/>
      <c r="F840" s="16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  <c r="BK840" s="17"/>
      <c r="BL840" s="17"/>
      <c r="BM840" s="17"/>
      <c r="BN840" s="17"/>
      <c r="BO840" s="17"/>
      <c r="BP840" s="17"/>
      <c r="BQ840" s="17"/>
      <c r="BR840" s="17"/>
      <c r="BS840" s="17"/>
      <c r="BT840" s="17"/>
      <c r="BU840" s="17"/>
      <c r="BV840" s="17"/>
      <c r="BW840" s="17"/>
      <c r="BX840" s="17"/>
      <c r="BY840" s="17"/>
      <c r="BZ840" s="17"/>
      <c r="CA840" s="17"/>
      <c r="CB840" s="17"/>
      <c r="CC840" s="17"/>
      <c r="CD840" s="17"/>
      <c r="CE840" s="17"/>
      <c r="CF840" s="17"/>
      <c r="CG840" s="17"/>
      <c r="CH840" s="17"/>
      <c r="CI840" s="17"/>
      <c r="CJ840" s="17"/>
      <c r="CK840" s="17"/>
      <c r="CL840" s="17"/>
      <c r="CM840" s="17"/>
      <c r="CN840" s="17"/>
      <c r="CO840" s="17"/>
      <c r="CP840" s="17"/>
      <c r="CQ840" s="17"/>
      <c r="CR840" s="17"/>
      <c r="CS840" s="17"/>
      <c r="CT840" s="17"/>
      <c r="CU840" s="17"/>
      <c r="CV840" s="17"/>
      <c r="CW840" s="17"/>
      <c r="CX840" s="17"/>
      <c r="CY840" s="17"/>
      <c r="CZ840" s="17"/>
      <c r="DA840" s="17"/>
      <c r="DB840" s="17"/>
      <c r="DC840" s="17"/>
      <c r="DD840" s="17"/>
      <c r="DE840" s="17"/>
      <c r="DF840" s="17"/>
      <c r="DG840" s="17"/>
      <c r="DH840" s="17"/>
      <c r="DI840" s="17"/>
      <c r="DJ840" s="17"/>
      <c r="DK840" s="17"/>
      <c r="DL840" s="17"/>
      <c r="DM840" s="17"/>
      <c r="DN840" s="17"/>
      <c r="DO840" s="17"/>
      <c r="DP840" s="17"/>
      <c r="DQ840" s="17"/>
      <c r="DR840" s="17"/>
      <c r="DS840" s="17"/>
      <c r="DT840" s="17"/>
      <c r="DU840" s="17"/>
      <c r="DV840" s="17"/>
      <c r="DW840" s="17"/>
    </row>
    <row r="841" spans="1:127" ht="18" customHeight="1">
      <c r="A841" s="16"/>
      <c r="B841" s="16"/>
      <c r="C841" s="16"/>
      <c r="D841" s="16"/>
      <c r="E841" s="16"/>
      <c r="F841" s="16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  <c r="CR841" s="17"/>
      <c r="CS841" s="17"/>
      <c r="CT841" s="17"/>
      <c r="CU841" s="17"/>
      <c r="CV841" s="17"/>
      <c r="CW841" s="17"/>
      <c r="CX841" s="17"/>
      <c r="CY841" s="17"/>
      <c r="CZ841" s="17"/>
      <c r="DA841" s="17"/>
      <c r="DB841" s="17"/>
      <c r="DC841" s="17"/>
      <c r="DD841" s="17"/>
      <c r="DE841" s="17"/>
      <c r="DF841" s="17"/>
      <c r="DG841" s="17"/>
      <c r="DH841" s="17"/>
      <c r="DI841" s="17"/>
      <c r="DJ841" s="17"/>
      <c r="DK841" s="17"/>
      <c r="DL841" s="17"/>
      <c r="DM841" s="17"/>
      <c r="DN841" s="17"/>
      <c r="DO841" s="17"/>
      <c r="DP841" s="17"/>
      <c r="DQ841" s="17"/>
      <c r="DR841" s="17"/>
      <c r="DS841" s="17"/>
      <c r="DT841" s="17"/>
      <c r="DU841" s="17"/>
      <c r="DV841" s="17"/>
      <c r="DW841" s="17"/>
    </row>
    <row r="842" spans="1:127" ht="18" customHeight="1">
      <c r="A842" s="16"/>
      <c r="B842" s="16"/>
      <c r="C842" s="16"/>
      <c r="D842" s="16"/>
      <c r="E842" s="16"/>
      <c r="F842" s="16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  <c r="CR842" s="17"/>
      <c r="CS842" s="17"/>
      <c r="CT842" s="17"/>
      <c r="CU842" s="17"/>
      <c r="CV842" s="17"/>
      <c r="CW842" s="17"/>
      <c r="CX842" s="17"/>
      <c r="CY842" s="17"/>
      <c r="CZ842" s="17"/>
      <c r="DA842" s="17"/>
      <c r="DB842" s="17"/>
      <c r="DC842" s="17"/>
      <c r="DD842" s="17"/>
      <c r="DE842" s="17"/>
      <c r="DF842" s="17"/>
      <c r="DG842" s="17"/>
      <c r="DH842" s="17"/>
      <c r="DI842" s="17"/>
      <c r="DJ842" s="17"/>
      <c r="DK842" s="17"/>
      <c r="DL842" s="17"/>
      <c r="DM842" s="17"/>
      <c r="DN842" s="17"/>
      <c r="DO842" s="17"/>
      <c r="DP842" s="17"/>
      <c r="DQ842" s="17"/>
      <c r="DR842" s="17"/>
      <c r="DS842" s="17"/>
      <c r="DT842" s="17"/>
      <c r="DU842" s="17"/>
      <c r="DV842" s="17"/>
      <c r="DW842" s="17"/>
    </row>
    <row r="843" spans="1:127" ht="18" customHeight="1">
      <c r="A843" s="16"/>
      <c r="B843" s="16"/>
      <c r="C843" s="16"/>
      <c r="D843" s="16"/>
      <c r="E843" s="16"/>
      <c r="F843" s="16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  <c r="CR843" s="17"/>
      <c r="CS843" s="17"/>
      <c r="CT843" s="17"/>
      <c r="CU843" s="17"/>
      <c r="CV843" s="17"/>
      <c r="CW843" s="17"/>
      <c r="CX843" s="17"/>
      <c r="CY843" s="17"/>
      <c r="CZ843" s="17"/>
      <c r="DA843" s="17"/>
      <c r="DB843" s="17"/>
      <c r="DC843" s="17"/>
      <c r="DD843" s="17"/>
      <c r="DE843" s="17"/>
      <c r="DF843" s="17"/>
      <c r="DG843" s="17"/>
      <c r="DH843" s="17"/>
      <c r="DI843" s="17"/>
      <c r="DJ843" s="17"/>
      <c r="DK843" s="17"/>
      <c r="DL843" s="17"/>
      <c r="DM843" s="17"/>
      <c r="DN843" s="17"/>
      <c r="DO843" s="17"/>
      <c r="DP843" s="17"/>
      <c r="DQ843" s="17"/>
      <c r="DR843" s="17"/>
      <c r="DS843" s="17"/>
      <c r="DT843" s="17"/>
      <c r="DU843" s="17"/>
      <c r="DV843" s="17"/>
      <c r="DW843" s="17"/>
    </row>
    <row r="844" spans="1:127" ht="18" customHeight="1">
      <c r="A844" s="16"/>
      <c r="B844" s="16"/>
      <c r="C844" s="16"/>
      <c r="D844" s="16"/>
      <c r="E844" s="16"/>
      <c r="F844" s="16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  <c r="BK844" s="17"/>
      <c r="BL844" s="17"/>
      <c r="BM844" s="17"/>
      <c r="BN844" s="17"/>
      <c r="BO844" s="17"/>
      <c r="BP844" s="17"/>
      <c r="BQ844" s="17"/>
      <c r="BR844" s="17"/>
      <c r="BS844" s="17"/>
      <c r="BT844" s="17"/>
      <c r="BU844" s="17"/>
      <c r="BV844" s="17"/>
      <c r="BW844" s="17"/>
      <c r="BX844" s="17"/>
      <c r="BY844" s="17"/>
      <c r="BZ844" s="17"/>
      <c r="CA844" s="17"/>
      <c r="CB844" s="17"/>
      <c r="CC844" s="17"/>
      <c r="CD844" s="17"/>
      <c r="CE844" s="17"/>
      <c r="CF844" s="17"/>
      <c r="CG844" s="17"/>
      <c r="CH844" s="17"/>
      <c r="CI844" s="17"/>
      <c r="CJ844" s="17"/>
      <c r="CK844" s="17"/>
      <c r="CL844" s="17"/>
      <c r="CM844" s="17"/>
      <c r="CN844" s="17"/>
      <c r="CO844" s="17"/>
      <c r="CP844" s="17"/>
      <c r="CQ844" s="17"/>
      <c r="CR844" s="17"/>
      <c r="CS844" s="17"/>
      <c r="CT844" s="17"/>
      <c r="CU844" s="17"/>
      <c r="CV844" s="17"/>
      <c r="CW844" s="17"/>
      <c r="CX844" s="17"/>
      <c r="CY844" s="17"/>
      <c r="CZ844" s="17"/>
      <c r="DA844" s="17"/>
      <c r="DB844" s="17"/>
      <c r="DC844" s="17"/>
      <c r="DD844" s="17"/>
      <c r="DE844" s="17"/>
      <c r="DF844" s="17"/>
      <c r="DG844" s="17"/>
      <c r="DH844" s="17"/>
      <c r="DI844" s="17"/>
      <c r="DJ844" s="17"/>
      <c r="DK844" s="17"/>
      <c r="DL844" s="17"/>
      <c r="DM844" s="17"/>
      <c r="DN844" s="17"/>
      <c r="DO844" s="17"/>
      <c r="DP844" s="17"/>
      <c r="DQ844" s="17"/>
      <c r="DR844" s="17"/>
      <c r="DS844" s="17"/>
      <c r="DT844" s="17"/>
      <c r="DU844" s="17"/>
      <c r="DV844" s="17"/>
      <c r="DW844" s="17"/>
    </row>
    <row r="845" spans="1:127" ht="18" customHeight="1">
      <c r="A845" s="16"/>
      <c r="B845" s="16"/>
      <c r="C845" s="16"/>
      <c r="D845" s="16"/>
      <c r="E845" s="16"/>
      <c r="F845" s="16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  <c r="CR845" s="17"/>
      <c r="CS845" s="17"/>
      <c r="CT845" s="17"/>
      <c r="CU845" s="17"/>
      <c r="CV845" s="17"/>
      <c r="CW845" s="17"/>
      <c r="CX845" s="17"/>
      <c r="CY845" s="17"/>
      <c r="CZ845" s="17"/>
      <c r="DA845" s="17"/>
      <c r="DB845" s="17"/>
      <c r="DC845" s="17"/>
      <c r="DD845" s="17"/>
      <c r="DE845" s="17"/>
      <c r="DF845" s="17"/>
      <c r="DG845" s="17"/>
      <c r="DH845" s="17"/>
      <c r="DI845" s="17"/>
      <c r="DJ845" s="17"/>
      <c r="DK845" s="17"/>
      <c r="DL845" s="17"/>
      <c r="DM845" s="17"/>
      <c r="DN845" s="17"/>
      <c r="DO845" s="17"/>
      <c r="DP845" s="17"/>
      <c r="DQ845" s="17"/>
      <c r="DR845" s="17"/>
      <c r="DS845" s="17"/>
      <c r="DT845" s="17"/>
      <c r="DU845" s="17"/>
      <c r="DV845" s="17"/>
      <c r="DW845" s="17"/>
    </row>
    <row r="846" spans="1:127" ht="18" customHeight="1">
      <c r="A846" s="16"/>
      <c r="B846" s="16"/>
      <c r="C846" s="16"/>
      <c r="D846" s="16"/>
      <c r="E846" s="16"/>
      <c r="F846" s="16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  <c r="BK846" s="17"/>
      <c r="BL846" s="17"/>
      <c r="BM846" s="17"/>
      <c r="BN846" s="17"/>
      <c r="BO846" s="17"/>
      <c r="BP846" s="17"/>
      <c r="BQ846" s="17"/>
      <c r="BR846" s="17"/>
      <c r="BS846" s="17"/>
      <c r="BT846" s="17"/>
      <c r="BU846" s="17"/>
      <c r="BV846" s="17"/>
      <c r="BW846" s="17"/>
      <c r="BX846" s="17"/>
      <c r="BY846" s="17"/>
      <c r="BZ846" s="17"/>
      <c r="CA846" s="17"/>
      <c r="CB846" s="17"/>
      <c r="CC846" s="17"/>
      <c r="CD846" s="17"/>
      <c r="CE846" s="17"/>
      <c r="CF846" s="17"/>
      <c r="CG846" s="17"/>
      <c r="CH846" s="17"/>
      <c r="CI846" s="17"/>
      <c r="CJ846" s="17"/>
      <c r="CK846" s="17"/>
      <c r="CL846" s="17"/>
      <c r="CM846" s="17"/>
      <c r="CN846" s="17"/>
      <c r="CO846" s="17"/>
      <c r="CP846" s="17"/>
      <c r="CQ846" s="17"/>
      <c r="CR846" s="17"/>
      <c r="CS846" s="17"/>
      <c r="CT846" s="17"/>
      <c r="CU846" s="17"/>
      <c r="CV846" s="17"/>
      <c r="CW846" s="17"/>
      <c r="CX846" s="17"/>
      <c r="CY846" s="17"/>
      <c r="CZ846" s="17"/>
      <c r="DA846" s="17"/>
      <c r="DB846" s="17"/>
      <c r="DC846" s="17"/>
      <c r="DD846" s="17"/>
      <c r="DE846" s="17"/>
      <c r="DF846" s="17"/>
      <c r="DG846" s="17"/>
      <c r="DH846" s="17"/>
      <c r="DI846" s="17"/>
      <c r="DJ846" s="17"/>
      <c r="DK846" s="17"/>
      <c r="DL846" s="17"/>
      <c r="DM846" s="17"/>
      <c r="DN846" s="17"/>
      <c r="DO846" s="17"/>
      <c r="DP846" s="17"/>
      <c r="DQ846" s="17"/>
      <c r="DR846" s="17"/>
      <c r="DS846" s="17"/>
      <c r="DT846" s="17"/>
      <c r="DU846" s="17"/>
      <c r="DV846" s="17"/>
      <c r="DW846" s="17"/>
    </row>
    <row r="847" spans="1:127" ht="18" customHeight="1">
      <c r="A847" s="16"/>
      <c r="B847" s="16"/>
      <c r="C847" s="16"/>
      <c r="D847" s="16"/>
      <c r="E847" s="16"/>
      <c r="F847" s="16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  <c r="BK847" s="17"/>
      <c r="BL847" s="17"/>
      <c r="BM847" s="17"/>
      <c r="BN847" s="17"/>
      <c r="BO847" s="17"/>
      <c r="BP847" s="17"/>
      <c r="BQ847" s="17"/>
      <c r="BR847" s="17"/>
      <c r="BS847" s="17"/>
      <c r="BT847" s="17"/>
      <c r="BU847" s="17"/>
      <c r="BV847" s="17"/>
      <c r="BW847" s="17"/>
      <c r="BX847" s="17"/>
      <c r="BY847" s="17"/>
      <c r="BZ847" s="17"/>
      <c r="CA847" s="17"/>
      <c r="CB847" s="17"/>
      <c r="CC847" s="17"/>
      <c r="CD847" s="17"/>
      <c r="CE847" s="17"/>
      <c r="CF847" s="17"/>
      <c r="CG847" s="17"/>
      <c r="CH847" s="17"/>
      <c r="CI847" s="17"/>
      <c r="CJ847" s="17"/>
      <c r="CK847" s="17"/>
      <c r="CL847" s="17"/>
      <c r="CM847" s="17"/>
      <c r="CN847" s="17"/>
      <c r="CO847" s="17"/>
      <c r="CP847" s="17"/>
      <c r="CQ847" s="17"/>
      <c r="CR847" s="17"/>
      <c r="CS847" s="17"/>
      <c r="CT847" s="17"/>
      <c r="CU847" s="17"/>
      <c r="CV847" s="17"/>
      <c r="CW847" s="17"/>
      <c r="CX847" s="17"/>
      <c r="CY847" s="17"/>
      <c r="CZ847" s="17"/>
      <c r="DA847" s="17"/>
      <c r="DB847" s="17"/>
      <c r="DC847" s="17"/>
      <c r="DD847" s="17"/>
      <c r="DE847" s="17"/>
      <c r="DF847" s="17"/>
      <c r="DG847" s="17"/>
      <c r="DH847" s="17"/>
      <c r="DI847" s="17"/>
      <c r="DJ847" s="17"/>
      <c r="DK847" s="17"/>
      <c r="DL847" s="17"/>
      <c r="DM847" s="17"/>
      <c r="DN847" s="17"/>
      <c r="DO847" s="17"/>
      <c r="DP847" s="17"/>
      <c r="DQ847" s="17"/>
      <c r="DR847" s="17"/>
      <c r="DS847" s="17"/>
      <c r="DT847" s="17"/>
      <c r="DU847" s="17"/>
      <c r="DV847" s="17"/>
      <c r="DW847" s="17"/>
    </row>
    <row r="848" spans="1:127" ht="18" customHeight="1">
      <c r="A848" s="16"/>
      <c r="B848" s="16"/>
      <c r="C848" s="16"/>
      <c r="D848" s="16"/>
      <c r="E848" s="16"/>
      <c r="F848" s="16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  <c r="BK848" s="17"/>
      <c r="BL848" s="17"/>
      <c r="BM848" s="17"/>
      <c r="BN848" s="17"/>
      <c r="BO848" s="17"/>
      <c r="BP848" s="17"/>
      <c r="BQ848" s="17"/>
      <c r="BR848" s="17"/>
      <c r="BS848" s="17"/>
      <c r="BT848" s="17"/>
      <c r="BU848" s="17"/>
      <c r="BV848" s="17"/>
      <c r="BW848" s="17"/>
      <c r="BX848" s="17"/>
      <c r="BY848" s="17"/>
      <c r="BZ848" s="17"/>
      <c r="CA848" s="17"/>
      <c r="CB848" s="17"/>
      <c r="CC848" s="17"/>
      <c r="CD848" s="17"/>
      <c r="CE848" s="17"/>
      <c r="CF848" s="17"/>
      <c r="CG848" s="17"/>
      <c r="CH848" s="17"/>
      <c r="CI848" s="17"/>
      <c r="CJ848" s="17"/>
      <c r="CK848" s="17"/>
      <c r="CL848" s="17"/>
      <c r="CM848" s="17"/>
      <c r="CN848" s="17"/>
      <c r="CO848" s="17"/>
      <c r="CP848" s="17"/>
      <c r="CQ848" s="17"/>
      <c r="CR848" s="17"/>
      <c r="CS848" s="17"/>
      <c r="CT848" s="17"/>
      <c r="CU848" s="17"/>
      <c r="CV848" s="17"/>
      <c r="CW848" s="17"/>
      <c r="CX848" s="17"/>
      <c r="CY848" s="17"/>
      <c r="CZ848" s="17"/>
      <c r="DA848" s="17"/>
      <c r="DB848" s="17"/>
      <c r="DC848" s="17"/>
      <c r="DD848" s="17"/>
      <c r="DE848" s="17"/>
      <c r="DF848" s="17"/>
      <c r="DG848" s="17"/>
      <c r="DH848" s="17"/>
      <c r="DI848" s="17"/>
      <c r="DJ848" s="17"/>
      <c r="DK848" s="17"/>
      <c r="DL848" s="17"/>
      <c r="DM848" s="17"/>
      <c r="DN848" s="17"/>
      <c r="DO848" s="17"/>
      <c r="DP848" s="17"/>
      <c r="DQ848" s="17"/>
      <c r="DR848" s="17"/>
      <c r="DS848" s="17"/>
      <c r="DT848" s="17"/>
      <c r="DU848" s="17"/>
      <c r="DV848" s="17"/>
      <c r="DW848" s="17"/>
    </row>
    <row r="849" spans="1:127" ht="18" customHeight="1">
      <c r="A849" s="16"/>
      <c r="B849" s="16"/>
      <c r="C849" s="16"/>
      <c r="D849" s="16"/>
      <c r="E849" s="16"/>
      <c r="F849" s="16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  <c r="BK849" s="17"/>
      <c r="BL849" s="17"/>
      <c r="BM849" s="17"/>
      <c r="BN849" s="17"/>
      <c r="BO849" s="17"/>
      <c r="BP849" s="17"/>
      <c r="BQ849" s="17"/>
      <c r="BR849" s="17"/>
      <c r="BS849" s="17"/>
      <c r="BT849" s="17"/>
      <c r="BU849" s="17"/>
      <c r="BV849" s="17"/>
      <c r="BW849" s="17"/>
      <c r="BX849" s="17"/>
      <c r="BY849" s="17"/>
      <c r="BZ849" s="17"/>
      <c r="CA849" s="17"/>
      <c r="CB849" s="17"/>
      <c r="CC849" s="17"/>
      <c r="CD849" s="17"/>
      <c r="CE849" s="17"/>
      <c r="CF849" s="17"/>
      <c r="CG849" s="17"/>
      <c r="CH849" s="17"/>
      <c r="CI849" s="17"/>
      <c r="CJ849" s="17"/>
      <c r="CK849" s="17"/>
      <c r="CL849" s="17"/>
      <c r="CM849" s="17"/>
      <c r="CN849" s="17"/>
      <c r="CO849" s="17"/>
      <c r="CP849" s="17"/>
      <c r="CQ849" s="17"/>
      <c r="CR849" s="17"/>
      <c r="CS849" s="17"/>
      <c r="CT849" s="17"/>
      <c r="CU849" s="17"/>
      <c r="CV849" s="17"/>
      <c r="CW849" s="17"/>
      <c r="CX849" s="17"/>
      <c r="CY849" s="17"/>
      <c r="CZ849" s="17"/>
      <c r="DA849" s="17"/>
      <c r="DB849" s="17"/>
      <c r="DC849" s="17"/>
      <c r="DD849" s="17"/>
      <c r="DE849" s="17"/>
      <c r="DF849" s="17"/>
      <c r="DG849" s="17"/>
      <c r="DH849" s="17"/>
      <c r="DI849" s="17"/>
      <c r="DJ849" s="17"/>
      <c r="DK849" s="17"/>
      <c r="DL849" s="17"/>
      <c r="DM849" s="17"/>
      <c r="DN849" s="17"/>
      <c r="DO849" s="17"/>
      <c r="DP849" s="17"/>
      <c r="DQ849" s="17"/>
      <c r="DR849" s="17"/>
      <c r="DS849" s="17"/>
      <c r="DT849" s="17"/>
      <c r="DU849" s="17"/>
      <c r="DV849" s="17"/>
      <c r="DW849" s="17"/>
    </row>
    <row r="850" spans="1:127" ht="18" customHeight="1">
      <c r="A850" s="16"/>
      <c r="B850" s="16"/>
      <c r="C850" s="16"/>
      <c r="D850" s="16"/>
      <c r="E850" s="16"/>
      <c r="F850" s="16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  <c r="BK850" s="17"/>
      <c r="BL850" s="17"/>
      <c r="BM850" s="17"/>
      <c r="BN850" s="17"/>
      <c r="BO850" s="17"/>
      <c r="BP850" s="17"/>
      <c r="BQ850" s="17"/>
      <c r="BR850" s="17"/>
      <c r="BS850" s="17"/>
      <c r="BT850" s="17"/>
      <c r="BU850" s="17"/>
      <c r="BV850" s="17"/>
      <c r="BW850" s="17"/>
      <c r="BX850" s="17"/>
      <c r="BY850" s="17"/>
      <c r="BZ850" s="17"/>
      <c r="CA850" s="17"/>
      <c r="CB850" s="17"/>
      <c r="CC850" s="17"/>
      <c r="CD850" s="17"/>
      <c r="CE850" s="17"/>
      <c r="CF850" s="17"/>
      <c r="CG850" s="17"/>
      <c r="CH850" s="17"/>
      <c r="CI850" s="17"/>
      <c r="CJ850" s="17"/>
      <c r="CK850" s="17"/>
      <c r="CL850" s="17"/>
      <c r="CM850" s="17"/>
      <c r="CN850" s="17"/>
      <c r="CO850" s="17"/>
      <c r="CP850" s="17"/>
      <c r="CQ850" s="17"/>
      <c r="CR850" s="17"/>
      <c r="CS850" s="17"/>
      <c r="CT850" s="17"/>
      <c r="CU850" s="17"/>
      <c r="CV850" s="17"/>
      <c r="CW850" s="17"/>
      <c r="CX850" s="17"/>
      <c r="CY850" s="17"/>
      <c r="CZ850" s="17"/>
      <c r="DA850" s="17"/>
      <c r="DB850" s="17"/>
      <c r="DC850" s="17"/>
      <c r="DD850" s="17"/>
      <c r="DE850" s="17"/>
      <c r="DF850" s="17"/>
      <c r="DG850" s="17"/>
      <c r="DH850" s="17"/>
      <c r="DI850" s="17"/>
      <c r="DJ850" s="17"/>
      <c r="DK850" s="17"/>
      <c r="DL850" s="17"/>
      <c r="DM850" s="17"/>
      <c r="DN850" s="17"/>
      <c r="DO850" s="17"/>
      <c r="DP850" s="17"/>
      <c r="DQ850" s="17"/>
      <c r="DR850" s="17"/>
      <c r="DS850" s="17"/>
      <c r="DT850" s="17"/>
      <c r="DU850" s="17"/>
      <c r="DV850" s="17"/>
      <c r="DW850" s="17"/>
    </row>
    <row r="851" spans="1:127" ht="18" customHeight="1">
      <c r="A851" s="16"/>
      <c r="B851" s="16"/>
      <c r="C851" s="16"/>
      <c r="D851" s="16"/>
      <c r="E851" s="16"/>
      <c r="F851" s="16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  <c r="BK851" s="17"/>
      <c r="BL851" s="17"/>
      <c r="BM851" s="17"/>
      <c r="BN851" s="17"/>
      <c r="BO851" s="17"/>
      <c r="BP851" s="17"/>
      <c r="BQ851" s="17"/>
      <c r="BR851" s="17"/>
      <c r="BS851" s="17"/>
      <c r="BT851" s="17"/>
      <c r="BU851" s="17"/>
      <c r="BV851" s="17"/>
      <c r="BW851" s="17"/>
      <c r="BX851" s="17"/>
      <c r="BY851" s="17"/>
      <c r="BZ851" s="17"/>
      <c r="CA851" s="17"/>
      <c r="CB851" s="17"/>
      <c r="CC851" s="17"/>
      <c r="CD851" s="17"/>
      <c r="CE851" s="17"/>
      <c r="CF851" s="17"/>
      <c r="CG851" s="17"/>
      <c r="CH851" s="17"/>
      <c r="CI851" s="17"/>
      <c r="CJ851" s="17"/>
      <c r="CK851" s="17"/>
      <c r="CL851" s="17"/>
      <c r="CM851" s="17"/>
      <c r="CN851" s="17"/>
      <c r="CO851" s="17"/>
      <c r="CP851" s="17"/>
      <c r="CQ851" s="17"/>
      <c r="CR851" s="17"/>
      <c r="CS851" s="17"/>
      <c r="CT851" s="17"/>
      <c r="CU851" s="17"/>
      <c r="CV851" s="17"/>
      <c r="CW851" s="17"/>
      <c r="CX851" s="17"/>
      <c r="CY851" s="17"/>
      <c r="CZ851" s="17"/>
      <c r="DA851" s="17"/>
      <c r="DB851" s="17"/>
      <c r="DC851" s="17"/>
      <c r="DD851" s="17"/>
      <c r="DE851" s="17"/>
      <c r="DF851" s="17"/>
      <c r="DG851" s="17"/>
      <c r="DH851" s="17"/>
      <c r="DI851" s="17"/>
      <c r="DJ851" s="17"/>
      <c r="DK851" s="17"/>
      <c r="DL851" s="17"/>
      <c r="DM851" s="17"/>
      <c r="DN851" s="17"/>
      <c r="DO851" s="17"/>
      <c r="DP851" s="17"/>
      <c r="DQ851" s="17"/>
      <c r="DR851" s="17"/>
      <c r="DS851" s="17"/>
      <c r="DT851" s="17"/>
      <c r="DU851" s="17"/>
      <c r="DV851" s="17"/>
      <c r="DW851" s="17"/>
    </row>
    <row r="852" spans="1:127" ht="18" customHeight="1">
      <c r="A852" s="16"/>
      <c r="B852" s="16"/>
      <c r="C852" s="16"/>
      <c r="D852" s="16"/>
      <c r="E852" s="16"/>
      <c r="F852" s="16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  <c r="BK852" s="17"/>
      <c r="BL852" s="17"/>
      <c r="BM852" s="17"/>
      <c r="BN852" s="17"/>
      <c r="BO852" s="17"/>
      <c r="BP852" s="17"/>
      <c r="BQ852" s="17"/>
      <c r="BR852" s="17"/>
      <c r="BS852" s="17"/>
      <c r="BT852" s="17"/>
      <c r="BU852" s="17"/>
      <c r="BV852" s="17"/>
      <c r="BW852" s="17"/>
      <c r="BX852" s="17"/>
      <c r="BY852" s="17"/>
      <c r="BZ852" s="17"/>
      <c r="CA852" s="17"/>
      <c r="CB852" s="17"/>
      <c r="CC852" s="17"/>
      <c r="CD852" s="17"/>
      <c r="CE852" s="17"/>
      <c r="CF852" s="17"/>
      <c r="CG852" s="17"/>
      <c r="CH852" s="17"/>
      <c r="CI852" s="17"/>
      <c r="CJ852" s="17"/>
      <c r="CK852" s="17"/>
      <c r="CL852" s="17"/>
      <c r="CM852" s="17"/>
      <c r="CN852" s="17"/>
      <c r="CO852" s="17"/>
      <c r="CP852" s="17"/>
      <c r="CQ852" s="17"/>
      <c r="CR852" s="17"/>
      <c r="CS852" s="17"/>
      <c r="CT852" s="17"/>
      <c r="CU852" s="17"/>
      <c r="CV852" s="17"/>
      <c r="CW852" s="17"/>
      <c r="CX852" s="17"/>
      <c r="CY852" s="17"/>
      <c r="CZ852" s="17"/>
      <c r="DA852" s="17"/>
      <c r="DB852" s="17"/>
      <c r="DC852" s="17"/>
      <c r="DD852" s="17"/>
      <c r="DE852" s="17"/>
      <c r="DF852" s="17"/>
      <c r="DG852" s="17"/>
      <c r="DH852" s="17"/>
      <c r="DI852" s="17"/>
      <c r="DJ852" s="17"/>
      <c r="DK852" s="17"/>
      <c r="DL852" s="17"/>
      <c r="DM852" s="17"/>
      <c r="DN852" s="17"/>
      <c r="DO852" s="17"/>
      <c r="DP852" s="17"/>
      <c r="DQ852" s="17"/>
      <c r="DR852" s="17"/>
      <c r="DS852" s="17"/>
      <c r="DT852" s="17"/>
      <c r="DU852" s="17"/>
      <c r="DV852" s="17"/>
      <c r="DW852" s="17"/>
    </row>
    <row r="853" spans="1:127" ht="18" customHeight="1">
      <c r="A853" s="16"/>
      <c r="B853" s="16"/>
      <c r="C853" s="16"/>
      <c r="D853" s="16"/>
      <c r="E853" s="16"/>
      <c r="F853" s="16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  <c r="BK853" s="17"/>
      <c r="BL853" s="17"/>
      <c r="BM853" s="17"/>
      <c r="BN853" s="17"/>
      <c r="BO853" s="17"/>
      <c r="BP853" s="17"/>
      <c r="BQ853" s="17"/>
      <c r="BR853" s="17"/>
      <c r="BS853" s="17"/>
      <c r="BT853" s="17"/>
      <c r="BU853" s="17"/>
      <c r="BV853" s="17"/>
      <c r="BW853" s="17"/>
      <c r="BX853" s="17"/>
      <c r="BY853" s="17"/>
      <c r="BZ853" s="17"/>
      <c r="CA853" s="17"/>
      <c r="CB853" s="17"/>
      <c r="CC853" s="17"/>
      <c r="CD853" s="17"/>
      <c r="CE853" s="17"/>
      <c r="CF853" s="17"/>
      <c r="CG853" s="17"/>
      <c r="CH853" s="17"/>
      <c r="CI853" s="17"/>
      <c r="CJ853" s="17"/>
      <c r="CK853" s="17"/>
      <c r="CL853" s="17"/>
      <c r="CM853" s="17"/>
      <c r="CN853" s="17"/>
      <c r="CO853" s="17"/>
      <c r="CP853" s="17"/>
      <c r="CQ853" s="17"/>
      <c r="CR853" s="17"/>
      <c r="CS853" s="17"/>
      <c r="CT853" s="17"/>
      <c r="CU853" s="17"/>
      <c r="CV853" s="17"/>
      <c r="CW853" s="17"/>
      <c r="CX853" s="17"/>
      <c r="CY853" s="17"/>
      <c r="CZ853" s="17"/>
      <c r="DA853" s="17"/>
      <c r="DB853" s="17"/>
      <c r="DC853" s="17"/>
      <c r="DD853" s="17"/>
      <c r="DE853" s="17"/>
      <c r="DF853" s="17"/>
      <c r="DG853" s="17"/>
      <c r="DH853" s="17"/>
      <c r="DI853" s="17"/>
      <c r="DJ853" s="17"/>
      <c r="DK853" s="17"/>
      <c r="DL853" s="17"/>
      <c r="DM853" s="17"/>
      <c r="DN853" s="17"/>
      <c r="DO853" s="17"/>
      <c r="DP853" s="17"/>
      <c r="DQ853" s="17"/>
      <c r="DR853" s="17"/>
      <c r="DS853" s="17"/>
      <c r="DT853" s="17"/>
      <c r="DU853" s="17"/>
      <c r="DV853" s="17"/>
      <c r="DW853" s="17"/>
    </row>
    <row r="854" spans="1:127" ht="18" customHeight="1">
      <c r="A854" s="16"/>
      <c r="B854" s="16"/>
      <c r="C854" s="16"/>
      <c r="D854" s="16"/>
      <c r="E854" s="16"/>
      <c r="F854" s="16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  <c r="BK854" s="17"/>
      <c r="BL854" s="17"/>
      <c r="BM854" s="17"/>
      <c r="BN854" s="17"/>
      <c r="BO854" s="17"/>
      <c r="BP854" s="17"/>
      <c r="BQ854" s="17"/>
      <c r="BR854" s="17"/>
      <c r="BS854" s="17"/>
      <c r="BT854" s="17"/>
      <c r="BU854" s="17"/>
      <c r="BV854" s="17"/>
      <c r="BW854" s="17"/>
      <c r="BX854" s="17"/>
      <c r="BY854" s="17"/>
      <c r="BZ854" s="17"/>
      <c r="CA854" s="17"/>
      <c r="CB854" s="17"/>
      <c r="CC854" s="17"/>
      <c r="CD854" s="17"/>
      <c r="CE854" s="17"/>
      <c r="CF854" s="17"/>
      <c r="CG854" s="17"/>
      <c r="CH854" s="17"/>
      <c r="CI854" s="17"/>
      <c r="CJ854" s="17"/>
      <c r="CK854" s="17"/>
      <c r="CL854" s="17"/>
      <c r="CM854" s="17"/>
      <c r="CN854" s="17"/>
      <c r="CO854" s="17"/>
      <c r="CP854" s="17"/>
      <c r="CQ854" s="17"/>
      <c r="CR854" s="17"/>
      <c r="CS854" s="17"/>
      <c r="CT854" s="17"/>
      <c r="CU854" s="17"/>
      <c r="CV854" s="17"/>
      <c r="CW854" s="17"/>
      <c r="CX854" s="17"/>
      <c r="CY854" s="17"/>
      <c r="CZ854" s="17"/>
      <c r="DA854" s="17"/>
      <c r="DB854" s="17"/>
      <c r="DC854" s="17"/>
      <c r="DD854" s="17"/>
      <c r="DE854" s="17"/>
      <c r="DF854" s="17"/>
      <c r="DG854" s="17"/>
      <c r="DH854" s="17"/>
      <c r="DI854" s="17"/>
      <c r="DJ854" s="17"/>
      <c r="DK854" s="17"/>
      <c r="DL854" s="17"/>
      <c r="DM854" s="17"/>
      <c r="DN854" s="17"/>
      <c r="DO854" s="17"/>
      <c r="DP854" s="17"/>
      <c r="DQ854" s="17"/>
      <c r="DR854" s="17"/>
      <c r="DS854" s="17"/>
      <c r="DT854" s="17"/>
      <c r="DU854" s="17"/>
      <c r="DV854" s="17"/>
      <c r="DW854" s="17"/>
    </row>
    <row r="855" spans="1:127" ht="18" customHeight="1">
      <c r="A855" s="16"/>
      <c r="B855" s="16"/>
      <c r="C855" s="16"/>
      <c r="D855" s="16"/>
      <c r="E855" s="16"/>
      <c r="F855" s="16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  <c r="BK855" s="17"/>
      <c r="BL855" s="17"/>
      <c r="BM855" s="17"/>
      <c r="BN855" s="17"/>
      <c r="BO855" s="17"/>
      <c r="BP855" s="17"/>
      <c r="BQ855" s="17"/>
      <c r="BR855" s="17"/>
      <c r="BS855" s="17"/>
      <c r="BT855" s="17"/>
      <c r="BU855" s="17"/>
      <c r="BV855" s="17"/>
      <c r="BW855" s="17"/>
      <c r="BX855" s="17"/>
      <c r="BY855" s="17"/>
      <c r="BZ855" s="17"/>
      <c r="CA855" s="17"/>
      <c r="CB855" s="17"/>
      <c r="CC855" s="17"/>
      <c r="CD855" s="17"/>
      <c r="CE855" s="17"/>
      <c r="CF855" s="17"/>
      <c r="CG855" s="17"/>
      <c r="CH855" s="17"/>
      <c r="CI855" s="17"/>
      <c r="CJ855" s="17"/>
      <c r="CK855" s="17"/>
      <c r="CL855" s="17"/>
      <c r="CM855" s="17"/>
      <c r="CN855" s="17"/>
      <c r="CO855" s="17"/>
      <c r="CP855" s="17"/>
      <c r="CQ855" s="17"/>
      <c r="CR855" s="17"/>
      <c r="CS855" s="17"/>
      <c r="CT855" s="17"/>
      <c r="CU855" s="17"/>
      <c r="CV855" s="17"/>
      <c r="CW855" s="17"/>
      <c r="CX855" s="17"/>
      <c r="CY855" s="17"/>
      <c r="CZ855" s="17"/>
      <c r="DA855" s="17"/>
      <c r="DB855" s="17"/>
      <c r="DC855" s="17"/>
      <c r="DD855" s="17"/>
      <c r="DE855" s="17"/>
      <c r="DF855" s="17"/>
      <c r="DG855" s="17"/>
      <c r="DH855" s="17"/>
      <c r="DI855" s="17"/>
      <c r="DJ855" s="17"/>
      <c r="DK855" s="17"/>
      <c r="DL855" s="17"/>
      <c r="DM855" s="17"/>
      <c r="DN855" s="17"/>
      <c r="DO855" s="17"/>
      <c r="DP855" s="17"/>
      <c r="DQ855" s="17"/>
      <c r="DR855" s="17"/>
      <c r="DS855" s="17"/>
      <c r="DT855" s="17"/>
      <c r="DU855" s="17"/>
      <c r="DV855" s="17"/>
      <c r="DW855" s="17"/>
    </row>
    <row r="856" spans="1:127" ht="18" customHeight="1">
      <c r="A856" s="16"/>
      <c r="B856" s="16"/>
      <c r="C856" s="16"/>
      <c r="D856" s="16"/>
      <c r="E856" s="16"/>
      <c r="F856" s="16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  <c r="BK856" s="17"/>
      <c r="BL856" s="17"/>
      <c r="BM856" s="17"/>
      <c r="BN856" s="17"/>
      <c r="BO856" s="17"/>
      <c r="BP856" s="17"/>
      <c r="BQ856" s="17"/>
      <c r="BR856" s="17"/>
      <c r="BS856" s="17"/>
      <c r="BT856" s="17"/>
      <c r="BU856" s="17"/>
      <c r="BV856" s="17"/>
      <c r="BW856" s="17"/>
      <c r="BX856" s="17"/>
      <c r="BY856" s="17"/>
      <c r="BZ856" s="17"/>
      <c r="CA856" s="17"/>
      <c r="CB856" s="17"/>
      <c r="CC856" s="17"/>
      <c r="CD856" s="17"/>
      <c r="CE856" s="17"/>
      <c r="CF856" s="17"/>
      <c r="CG856" s="17"/>
      <c r="CH856" s="17"/>
      <c r="CI856" s="17"/>
      <c r="CJ856" s="17"/>
      <c r="CK856" s="17"/>
      <c r="CL856" s="17"/>
      <c r="CM856" s="17"/>
      <c r="CN856" s="17"/>
      <c r="CO856" s="17"/>
      <c r="CP856" s="17"/>
      <c r="CQ856" s="17"/>
      <c r="CR856" s="17"/>
      <c r="CS856" s="17"/>
      <c r="CT856" s="17"/>
      <c r="CU856" s="17"/>
      <c r="CV856" s="17"/>
      <c r="CW856" s="17"/>
      <c r="CX856" s="17"/>
      <c r="CY856" s="17"/>
      <c r="CZ856" s="17"/>
      <c r="DA856" s="17"/>
      <c r="DB856" s="17"/>
      <c r="DC856" s="17"/>
      <c r="DD856" s="17"/>
      <c r="DE856" s="17"/>
      <c r="DF856" s="17"/>
      <c r="DG856" s="17"/>
      <c r="DH856" s="17"/>
      <c r="DI856" s="17"/>
      <c r="DJ856" s="17"/>
      <c r="DK856" s="17"/>
      <c r="DL856" s="17"/>
      <c r="DM856" s="17"/>
      <c r="DN856" s="17"/>
      <c r="DO856" s="17"/>
      <c r="DP856" s="17"/>
      <c r="DQ856" s="17"/>
      <c r="DR856" s="17"/>
      <c r="DS856" s="17"/>
      <c r="DT856" s="17"/>
      <c r="DU856" s="17"/>
      <c r="DV856" s="17"/>
      <c r="DW856" s="17"/>
    </row>
    <row r="857" spans="1:127" ht="18" customHeight="1">
      <c r="A857" s="16"/>
      <c r="B857" s="16"/>
      <c r="C857" s="16"/>
      <c r="D857" s="16"/>
      <c r="E857" s="16"/>
      <c r="F857" s="16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  <c r="BK857" s="17"/>
      <c r="BL857" s="17"/>
      <c r="BM857" s="17"/>
      <c r="BN857" s="17"/>
      <c r="BO857" s="17"/>
      <c r="BP857" s="17"/>
      <c r="BQ857" s="17"/>
      <c r="BR857" s="17"/>
      <c r="BS857" s="17"/>
      <c r="BT857" s="17"/>
      <c r="BU857" s="17"/>
      <c r="BV857" s="17"/>
      <c r="BW857" s="17"/>
      <c r="BX857" s="17"/>
      <c r="BY857" s="17"/>
      <c r="BZ857" s="17"/>
      <c r="CA857" s="17"/>
      <c r="CB857" s="17"/>
      <c r="CC857" s="17"/>
      <c r="CD857" s="17"/>
      <c r="CE857" s="17"/>
      <c r="CF857" s="17"/>
      <c r="CG857" s="17"/>
      <c r="CH857" s="17"/>
      <c r="CI857" s="17"/>
      <c r="CJ857" s="17"/>
      <c r="CK857" s="17"/>
      <c r="CL857" s="17"/>
      <c r="CM857" s="17"/>
      <c r="CN857" s="17"/>
      <c r="CO857" s="17"/>
      <c r="CP857" s="17"/>
      <c r="CQ857" s="17"/>
      <c r="CR857" s="17"/>
      <c r="CS857" s="17"/>
      <c r="CT857" s="17"/>
      <c r="CU857" s="17"/>
      <c r="CV857" s="17"/>
      <c r="CW857" s="17"/>
      <c r="CX857" s="17"/>
      <c r="CY857" s="17"/>
      <c r="CZ857" s="17"/>
      <c r="DA857" s="17"/>
      <c r="DB857" s="17"/>
      <c r="DC857" s="17"/>
      <c r="DD857" s="17"/>
      <c r="DE857" s="17"/>
      <c r="DF857" s="17"/>
      <c r="DG857" s="17"/>
      <c r="DH857" s="17"/>
      <c r="DI857" s="17"/>
      <c r="DJ857" s="17"/>
      <c r="DK857" s="17"/>
      <c r="DL857" s="17"/>
      <c r="DM857" s="17"/>
      <c r="DN857" s="17"/>
      <c r="DO857" s="17"/>
      <c r="DP857" s="17"/>
      <c r="DQ857" s="17"/>
      <c r="DR857" s="17"/>
      <c r="DS857" s="17"/>
      <c r="DT857" s="17"/>
      <c r="DU857" s="17"/>
      <c r="DV857" s="17"/>
      <c r="DW857" s="17"/>
    </row>
    <row r="858" spans="1:127" ht="18" customHeight="1">
      <c r="A858" s="16"/>
      <c r="B858" s="16"/>
      <c r="C858" s="16"/>
      <c r="D858" s="16"/>
      <c r="E858" s="16"/>
      <c r="F858" s="16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  <c r="BK858" s="17"/>
      <c r="BL858" s="17"/>
      <c r="BM858" s="17"/>
      <c r="BN858" s="17"/>
      <c r="BO858" s="17"/>
      <c r="BP858" s="17"/>
      <c r="BQ858" s="17"/>
      <c r="BR858" s="17"/>
      <c r="BS858" s="17"/>
      <c r="BT858" s="17"/>
      <c r="BU858" s="17"/>
      <c r="BV858" s="17"/>
      <c r="BW858" s="17"/>
      <c r="BX858" s="17"/>
      <c r="BY858" s="17"/>
      <c r="BZ858" s="17"/>
      <c r="CA858" s="17"/>
      <c r="CB858" s="17"/>
      <c r="CC858" s="17"/>
      <c r="CD858" s="17"/>
      <c r="CE858" s="17"/>
      <c r="CF858" s="17"/>
      <c r="CG858" s="17"/>
      <c r="CH858" s="17"/>
      <c r="CI858" s="17"/>
      <c r="CJ858" s="17"/>
      <c r="CK858" s="17"/>
      <c r="CL858" s="17"/>
      <c r="CM858" s="17"/>
      <c r="CN858" s="17"/>
      <c r="CO858" s="17"/>
      <c r="CP858" s="17"/>
      <c r="CQ858" s="17"/>
      <c r="CR858" s="17"/>
      <c r="CS858" s="17"/>
      <c r="CT858" s="17"/>
      <c r="CU858" s="17"/>
      <c r="CV858" s="17"/>
      <c r="CW858" s="17"/>
      <c r="CX858" s="17"/>
      <c r="CY858" s="17"/>
      <c r="CZ858" s="17"/>
      <c r="DA858" s="17"/>
      <c r="DB858" s="17"/>
      <c r="DC858" s="17"/>
      <c r="DD858" s="17"/>
      <c r="DE858" s="17"/>
      <c r="DF858" s="17"/>
      <c r="DG858" s="17"/>
      <c r="DH858" s="17"/>
      <c r="DI858" s="17"/>
      <c r="DJ858" s="17"/>
      <c r="DK858" s="17"/>
      <c r="DL858" s="17"/>
      <c r="DM858" s="17"/>
      <c r="DN858" s="17"/>
      <c r="DO858" s="17"/>
      <c r="DP858" s="17"/>
      <c r="DQ858" s="17"/>
      <c r="DR858" s="17"/>
      <c r="DS858" s="17"/>
      <c r="DT858" s="17"/>
      <c r="DU858" s="17"/>
      <c r="DV858" s="17"/>
      <c r="DW858" s="17"/>
    </row>
    <row r="859" spans="1:127" ht="18" customHeight="1">
      <c r="A859" s="16"/>
      <c r="B859" s="16"/>
      <c r="C859" s="16"/>
      <c r="D859" s="16"/>
      <c r="E859" s="16"/>
      <c r="F859" s="16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  <c r="CR859" s="17"/>
      <c r="CS859" s="17"/>
      <c r="CT859" s="17"/>
      <c r="CU859" s="17"/>
      <c r="CV859" s="17"/>
      <c r="CW859" s="17"/>
      <c r="CX859" s="17"/>
      <c r="CY859" s="17"/>
      <c r="CZ859" s="17"/>
      <c r="DA859" s="17"/>
      <c r="DB859" s="17"/>
      <c r="DC859" s="17"/>
      <c r="DD859" s="17"/>
      <c r="DE859" s="17"/>
      <c r="DF859" s="17"/>
      <c r="DG859" s="17"/>
      <c r="DH859" s="17"/>
      <c r="DI859" s="17"/>
      <c r="DJ859" s="17"/>
      <c r="DK859" s="17"/>
      <c r="DL859" s="17"/>
      <c r="DM859" s="17"/>
      <c r="DN859" s="17"/>
      <c r="DO859" s="17"/>
      <c r="DP859" s="17"/>
      <c r="DQ859" s="17"/>
      <c r="DR859" s="17"/>
      <c r="DS859" s="17"/>
      <c r="DT859" s="17"/>
      <c r="DU859" s="17"/>
      <c r="DV859" s="17"/>
      <c r="DW859" s="17"/>
    </row>
    <row r="860" spans="1:127" ht="18" customHeight="1">
      <c r="A860" s="16"/>
      <c r="B860" s="16"/>
      <c r="C860" s="16"/>
      <c r="D860" s="16"/>
      <c r="E860" s="16"/>
      <c r="F860" s="16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  <c r="BK860" s="17"/>
      <c r="BL860" s="17"/>
      <c r="BM860" s="17"/>
      <c r="BN860" s="17"/>
      <c r="BO860" s="17"/>
      <c r="BP860" s="17"/>
      <c r="BQ860" s="17"/>
      <c r="BR860" s="17"/>
      <c r="BS860" s="17"/>
      <c r="BT860" s="17"/>
      <c r="BU860" s="17"/>
      <c r="BV860" s="17"/>
      <c r="BW860" s="17"/>
      <c r="BX860" s="17"/>
      <c r="BY860" s="17"/>
      <c r="BZ860" s="17"/>
      <c r="CA860" s="17"/>
      <c r="CB860" s="17"/>
      <c r="CC860" s="17"/>
      <c r="CD860" s="17"/>
      <c r="CE860" s="17"/>
      <c r="CF860" s="17"/>
      <c r="CG860" s="17"/>
      <c r="CH860" s="17"/>
      <c r="CI860" s="17"/>
      <c r="CJ860" s="17"/>
      <c r="CK860" s="17"/>
      <c r="CL860" s="17"/>
      <c r="CM860" s="17"/>
      <c r="CN860" s="17"/>
      <c r="CO860" s="17"/>
      <c r="CP860" s="17"/>
      <c r="CQ860" s="17"/>
      <c r="CR860" s="17"/>
      <c r="CS860" s="17"/>
      <c r="CT860" s="17"/>
      <c r="CU860" s="17"/>
      <c r="CV860" s="17"/>
      <c r="CW860" s="17"/>
      <c r="CX860" s="17"/>
      <c r="CY860" s="17"/>
      <c r="CZ860" s="17"/>
      <c r="DA860" s="17"/>
      <c r="DB860" s="17"/>
      <c r="DC860" s="17"/>
      <c r="DD860" s="17"/>
      <c r="DE860" s="17"/>
      <c r="DF860" s="17"/>
      <c r="DG860" s="17"/>
      <c r="DH860" s="17"/>
      <c r="DI860" s="17"/>
      <c r="DJ860" s="17"/>
      <c r="DK860" s="17"/>
      <c r="DL860" s="17"/>
      <c r="DM860" s="17"/>
      <c r="DN860" s="17"/>
      <c r="DO860" s="17"/>
      <c r="DP860" s="17"/>
      <c r="DQ860" s="17"/>
      <c r="DR860" s="17"/>
      <c r="DS860" s="17"/>
      <c r="DT860" s="17"/>
      <c r="DU860" s="17"/>
      <c r="DV860" s="17"/>
      <c r="DW860" s="17"/>
    </row>
    <row r="861" spans="1:127" ht="18" customHeight="1">
      <c r="A861" s="16"/>
      <c r="B861" s="16"/>
      <c r="C861" s="16"/>
      <c r="D861" s="16"/>
      <c r="E861" s="16"/>
      <c r="F861" s="16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  <c r="BK861" s="17"/>
      <c r="BL861" s="17"/>
      <c r="BM861" s="17"/>
      <c r="BN861" s="17"/>
      <c r="BO861" s="17"/>
      <c r="BP861" s="17"/>
      <c r="BQ861" s="17"/>
      <c r="BR861" s="17"/>
      <c r="BS861" s="17"/>
      <c r="BT861" s="17"/>
      <c r="BU861" s="17"/>
      <c r="BV861" s="17"/>
      <c r="BW861" s="17"/>
      <c r="BX861" s="17"/>
      <c r="BY861" s="17"/>
      <c r="BZ861" s="17"/>
      <c r="CA861" s="17"/>
      <c r="CB861" s="17"/>
      <c r="CC861" s="17"/>
      <c r="CD861" s="17"/>
      <c r="CE861" s="17"/>
      <c r="CF861" s="17"/>
      <c r="CG861" s="17"/>
      <c r="CH861" s="17"/>
      <c r="CI861" s="17"/>
      <c r="CJ861" s="17"/>
      <c r="CK861" s="17"/>
      <c r="CL861" s="17"/>
      <c r="CM861" s="17"/>
      <c r="CN861" s="17"/>
      <c r="CO861" s="17"/>
      <c r="CP861" s="17"/>
      <c r="CQ861" s="17"/>
      <c r="CR861" s="17"/>
      <c r="CS861" s="17"/>
      <c r="CT861" s="17"/>
      <c r="CU861" s="17"/>
      <c r="CV861" s="17"/>
      <c r="CW861" s="17"/>
      <c r="CX861" s="17"/>
      <c r="CY861" s="17"/>
      <c r="CZ861" s="17"/>
      <c r="DA861" s="17"/>
      <c r="DB861" s="17"/>
      <c r="DC861" s="17"/>
      <c r="DD861" s="17"/>
      <c r="DE861" s="17"/>
      <c r="DF861" s="17"/>
      <c r="DG861" s="17"/>
      <c r="DH861" s="17"/>
      <c r="DI861" s="17"/>
      <c r="DJ861" s="17"/>
      <c r="DK861" s="17"/>
      <c r="DL861" s="17"/>
      <c r="DM861" s="17"/>
      <c r="DN861" s="17"/>
      <c r="DO861" s="17"/>
      <c r="DP861" s="17"/>
      <c r="DQ861" s="17"/>
      <c r="DR861" s="17"/>
      <c r="DS861" s="17"/>
      <c r="DT861" s="17"/>
      <c r="DU861" s="17"/>
      <c r="DV861" s="17"/>
      <c r="DW861" s="17"/>
    </row>
    <row r="862" spans="1:127" ht="18" customHeight="1">
      <c r="A862" s="16"/>
      <c r="B862" s="16"/>
      <c r="C862" s="16"/>
      <c r="D862" s="16"/>
      <c r="E862" s="16"/>
      <c r="F862" s="16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  <c r="BK862" s="17"/>
      <c r="BL862" s="17"/>
      <c r="BM862" s="17"/>
      <c r="BN862" s="17"/>
      <c r="BO862" s="17"/>
      <c r="BP862" s="17"/>
      <c r="BQ862" s="17"/>
      <c r="BR862" s="17"/>
      <c r="BS862" s="17"/>
      <c r="BT862" s="17"/>
      <c r="BU862" s="17"/>
      <c r="BV862" s="17"/>
      <c r="BW862" s="17"/>
      <c r="BX862" s="17"/>
      <c r="BY862" s="17"/>
      <c r="BZ862" s="17"/>
      <c r="CA862" s="17"/>
      <c r="CB862" s="17"/>
      <c r="CC862" s="17"/>
      <c r="CD862" s="17"/>
      <c r="CE862" s="17"/>
      <c r="CF862" s="17"/>
      <c r="CG862" s="17"/>
      <c r="CH862" s="17"/>
      <c r="CI862" s="17"/>
      <c r="CJ862" s="17"/>
      <c r="CK862" s="17"/>
      <c r="CL862" s="17"/>
      <c r="CM862" s="17"/>
      <c r="CN862" s="17"/>
      <c r="CO862" s="17"/>
      <c r="CP862" s="17"/>
      <c r="CQ862" s="17"/>
      <c r="CR862" s="17"/>
      <c r="CS862" s="17"/>
      <c r="CT862" s="17"/>
      <c r="CU862" s="17"/>
      <c r="CV862" s="17"/>
      <c r="CW862" s="17"/>
      <c r="CX862" s="17"/>
      <c r="CY862" s="17"/>
      <c r="CZ862" s="17"/>
      <c r="DA862" s="17"/>
      <c r="DB862" s="17"/>
      <c r="DC862" s="17"/>
      <c r="DD862" s="17"/>
      <c r="DE862" s="17"/>
      <c r="DF862" s="17"/>
      <c r="DG862" s="17"/>
      <c r="DH862" s="17"/>
      <c r="DI862" s="17"/>
      <c r="DJ862" s="17"/>
      <c r="DK862" s="17"/>
      <c r="DL862" s="17"/>
      <c r="DM862" s="17"/>
      <c r="DN862" s="17"/>
      <c r="DO862" s="17"/>
      <c r="DP862" s="17"/>
      <c r="DQ862" s="17"/>
      <c r="DR862" s="17"/>
      <c r="DS862" s="17"/>
      <c r="DT862" s="17"/>
      <c r="DU862" s="17"/>
      <c r="DV862" s="17"/>
      <c r="DW862" s="17"/>
    </row>
    <row r="863" spans="1:127" ht="18" customHeight="1">
      <c r="A863" s="16"/>
      <c r="B863" s="16"/>
      <c r="C863" s="16"/>
      <c r="D863" s="16"/>
      <c r="E863" s="16"/>
      <c r="F863" s="16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  <c r="CR863" s="17"/>
      <c r="CS863" s="17"/>
      <c r="CT863" s="17"/>
      <c r="CU863" s="17"/>
      <c r="CV863" s="17"/>
      <c r="CW863" s="17"/>
      <c r="CX863" s="17"/>
      <c r="CY863" s="17"/>
      <c r="CZ863" s="17"/>
      <c r="DA863" s="17"/>
      <c r="DB863" s="17"/>
      <c r="DC863" s="17"/>
      <c r="DD863" s="17"/>
      <c r="DE863" s="17"/>
      <c r="DF863" s="17"/>
      <c r="DG863" s="17"/>
      <c r="DH863" s="17"/>
      <c r="DI863" s="17"/>
      <c r="DJ863" s="17"/>
      <c r="DK863" s="17"/>
      <c r="DL863" s="17"/>
      <c r="DM863" s="17"/>
      <c r="DN863" s="17"/>
      <c r="DO863" s="17"/>
      <c r="DP863" s="17"/>
      <c r="DQ863" s="17"/>
      <c r="DR863" s="17"/>
      <c r="DS863" s="17"/>
      <c r="DT863" s="17"/>
      <c r="DU863" s="17"/>
      <c r="DV863" s="17"/>
      <c r="DW863" s="17"/>
    </row>
    <row r="864" spans="1:127" ht="18" customHeight="1">
      <c r="A864" s="16"/>
      <c r="B864" s="16"/>
      <c r="C864" s="16"/>
      <c r="D864" s="16"/>
      <c r="E864" s="16"/>
      <c r="F864" s="16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  <c r="BK864" s="17"/>
      <c r="BL864" s="17"/>
      <c r="BM864" s="17"/>
      <c r="BN864" s="17"/>
      <c r="BO864" s="17"/>
      <c r="BP864" s="17"/>
      <c r="BQ864" s="17"/>
      <c r="BR864" s="17"/>
      <c r="BS864" s="17"/>
      <c r="BT864" s="17"/>
      <c r="BU864" s="17"/>
      <c r="BV864" s="17"/>
      <c r="BW864" s="17"/>
      <c r="BX864" s="17"/>
      <c r="BY864" s="17"/>
      <c r="BZ864" s="17"/>
      <c r="CA864" s="17"/>
      <c r="CB864" s="17"/>
      <c r="CC864" s="17"/>
      <c r="CD864" s="17"/>
      <c r="CE864" s="17"/>
      <c r="CF864" s="17"/>
      <c r="CG864" s="17"/>
      <c r="CH864" s="17"/>
      <c r="CI864" s="17"/>
      <c r="CJ864" s="17"/>
      <c r="CK864" s="17"/>
      <c r="CL864" s="17"/>
      <c r="CM864" s="17"/>
      <c r="CN864" s="17"/>
      <c r="CO864" s="17"/>
      <c r="CP864" s="17"/>
      <c r="CQ864" s="17"/>
      <c r="CR864" s="17"/>
      <c r="CS864" s="17"/>
      <c r="CT864" s="17"/>
      <c r="CU864" s="17"/>
      <c r="CV864" s="17"/>
      <c r="CW864" s="17"/>
      <c r="CX864" s="17"/>
      <c r="CY864" s="17"/>
      <c r="CZ864" s="17"/>
      <c r="DA864" s="17"/>
      <c r="DB864" s="17"/>
      <c r="DC864" s="17"/>
      <c r="DD864" s="17"/>
      <c r="DE864" s="17"/>
      <c r="DF864" s="17"/>
      <c r="DG864" s="17"/>
      <c r="DH864" s="17"/>
      <c r="DI864" s="17"/>
      <c r="DJ864" s="17"/>
      <c r="DK864" s="17"/>
      <c r="DL864" s="17"/>
      <c r="DM864" s="17"/>
      <c r="DN864" s="17"/>
      <c r="DO864" s="17"/>
      <c r="DP864" s="17"/>
      <c r="DQ864" s="17"/>
      <c r="DR864" s="17"/>
      <c r="DS864" s="17"/>
      <c r="DT864" s="17"/>
      <c r="DU864" s="17"/>
      <c r="DV864" s="17"/>
      <c r="DW864" s="17"/>
    </row>
    <row r="865" spans="1:127" ht="18" customHeight="1">
      <c r="A865" s="16"/>
      <c r="B865" s="16"/>
      <c r="C865" s="16"/>
      <c r="D865" s="16"/>
      <c r="E865" s="16"/>
      <c r="F865" s="16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  <c r="BK865" s="17"/>
      <c r="BL865" s="17"/>
      <c r="BM865" s="17"/>
      <c r="BN865" s="17"/>
      <c r="BO865" s="17"/>
      <c r="BP865" s="17"/>
      <c r="BQ865" s="17"/>
      <c r="BR865" s="17"/>
      <c r="BS865" s="17"/>
      <c r="BT865" s="17"/>
      <c r="BU865" s="17"/>
      <c r="BV865" s="17"/>
      <c r="BW865" s="17"/>
      <c r="BX865" s="17"/>
      <c r="BY865" s="17"/>
      <c r="BZ865" s="17"/>
      <c r="CA865" s="17"/>
      <c r="CB865" s="17"/>
      <c r="CC865" s="17"/>
      <c r="CD865" s="17"/>
      <c r="CE865" s="17"/>
      <c r="CF865" s="17"/>
      <c r="CG865" s="17"/>
      <c r="CH865" s="17"/>
      <c r="CI865" s="17"/>
      <c r="CJ865" s="17"/>
      <c r="CK865" s="17"/>
      <c r="CL865" s="17"/>
      <c r="CM865" s="17"/>
      <c r="CN865" s="17"/>
      <c r="CO865" s="17"/>
      <c r="CP865" s="17"/>
      <c r="CQ865" s="17"/>
      <c r="CR865" s="17"/>
      <c r="CS865" s="17"/>
      <c r="CT865" s="17"/>
      <c r="CU865" s="17"/>
      <c r="CV865" s="17"/>
      <c r="CW865" s="17"/>
      <c r="CX865" s="17"/>
      <c r="CY865" s="17"/>
      <c r="CZ865" s="17"/>
      <c r="DA865" s="17"/>
      <c r="DB865" s="17"/>
      <c r="DC865" s="17"/>
      <c r="DD865" s="17"/>
      <c r="DE865" s="17"/>
      <c r="DF865" s="17"/>
      <c r="DG865" s="17"/>
      <c r="DH865" s="17"/>
      <c r="DI865" s="17"/>
      <c r="DJ865" s="17"/>
      <c r="DK865" s="17"/>
      <c r="DL865" s="17"/>
      <c r="DM865" s="17"/>
      <c r="DN865" s="17"/>
      <c r="DO865" s="17"/>
      <c r="DP865" s="17"/>
      <c r="DQ865" s="17"/>
      <c r="DR865" s="17"/>
      <c r="DS865" s="17"/>
      <c r="DT865" s="17"/>
      <c r="DU865" s="17"/>
      <c r="DV865" s="17"/>
      <c r="DW865" s="17"/>
    </row>
    <row r="866" spans="1:127" ht="18" customHeight="1">
      <c r="A866" s="16"/>
      <c r="B866" s="16"/>
      <c r="C866" s="16"/>
      <c r="D866" s="16"/>
      <c r="E866" s="16"/>
      <c r="F866" s="16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  <c r="BK866" s="17"/>
      <c r="BL866" s="17"/>
      <c r="BM866" s="17"/>
      <c r="BN866" s="17"/>
      <c r="BO866" s="17"/>
      <c r="BP866" s="17"/>
      <c r="BQ866" s="17"/>
      <c r="BR866" s="17"/>
      <c r="BS866" s="17"/>
      <c r="BT866" s="17"/>
      <c r="BU866" s="17"/>
      <c r="BV866" s="17"/>
      <c r="BW866" s="17"/>
      <c r="BX866" s="17"/>
      <c r="BY866" s="17"/>
      <c r="BZ866" s="17"/>
      <c r="CA866" s="17"/>
      <c r="CB866" s="17"/>
      <c r="CC866" s="17"/>
      <c r="CD866" s="17"/>
      <c r="CE866" s="17"/>
      <c r="CF866" s="17"/>
      <c r="CG866" s="17"/>
      <c r="CH866" s="17"/>
      <c r="CI866" s="17"/>
      <c r="CJ866" s="17"/>
      <c r="CK866" s="17"/>
      <c r="CL866" s="17"/>
      <c r="CM866" s="17"/>
      <c r="CN866" s="17"/>
      <c r="CO866" s="17"/>
      <c r="CP866" s="17"/>
      <c r="CQ866" s="17"/>
      <c r="CR866" s="17"/>
      <c r="CS866" s="17"/>
      <c r="CT866" s="17"/>
      <c r="CU866" s="17"/>
      <c r="CV866" s="17"/>
      <c r="CW866" s="17"/>
      <c r="CX866" s="17"/>
      <c r="CY866" s="17"/>
      <c r="CZ866" s="17"/>
      <c r="DA866" s="17"/>
      <c r="DB866" s="17"/>
      <c r="DC866" s="17"/>
      <c r="DD866" s="17"/>
      <c r="DE866" s="17"/>
      <c r="DF866" s="17"/>
      <c r="DG866" s="17"/>
      <c r="DH866" s="17"/>
      <c r="DI866" s="17"/>
      <c r="DJ866" s="17"/>
      <c r="DK866" s="17"/>
      <c r="DL866" s="17"/>
      <c r="DM866" s="17"/>
      <c r="DN866" s="17"/>
      <c r="DO866" s="17"/>
      <c r="DP866" s="17"/>
      <c r="DQ866" s="17"/>
      <c r="DR866" s="17"/>
      <c r="DS866" s="17"/>
      <c r="DT866" s="17"/>
      <c r="DU866" s="17"/>
      <c r="DV866" s="17"/>
      <c r="DW866" s="17"/>
    </row>
    <row r="867" spans="1:127" ht="18" customHeight="1">
      <c r="A867" s="16"/>
      <c r="B867" s="16"/>
      <c r="C867" s="16"/>
      <c r="D867" s="16"/>
      <c r="E867" s="16"/>
      <c r="F867" s="16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  <c r="CR867" s="17"/>
      <c r="CS867" s="17"/>
      <c r="CT867" s="17"/>
      <c r="CU867" s="17"/>
      <c r="CV867" s="17"/>
      <c r="CW867" s="17"/>
      <c r="CX867" s="17"/>
      <c r="CY867" s="17"/>
      <c r="CZ867" s="17"/>
      <c r="DA867" s="17"/>
      <c r="DB867" s="17"/>
      <c r="DC867" s="17"/>
      <c r="DD867" s="17"/>
      <c r="DE867" s="17"/>
      <c r="DF867" s="17"/>
      <c r="DG867" s="17"/>
      <c r="DH867" s="17"/>
      <c r="DI867" s="17"/>
      <c r="DJ867" s="17"/>
      <c r="DK867" s="17"/>
      <c r="DL867" s="17"/>
      <c r="DM867" s="17"/>
      <c r="DN867" s="17"/>
      <c r="DO867" s="17"/>
      <c r="DP867" s="17"/>
      <c r="DQ867" s="17"/>
      <c r="DR867" s="17"/>
      <c r="DS867" s="17"/>
      <c r="DT867" s="17"/>
      <c r="DU867" s="17"/>
      <c r="DV867" s="17"/>
      <c r="DW867" s="17"/>
    </row>
    <row r="868" spans="1:127" ht="18" customHeight="1">
      <c r="A868" s="16"/>
      <c r="B868" s="16"/>
      <c r="C868" s="16"/>
      <c r="D868" s="16"/>
      <c r="E868" s="16"/>
      <c r="F868" s="16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  <c r="BK868" s="17"/>
      <c r="BL868" s="17"/>
      <c r="BM868" s="17"/>
      <c r="BN868" s="17"/>
      <c r="BO868" s="17"/>
      <c r="BP868" s="17"/>
      <c r="BQ868" s="17"/>
      <c r="BR868" s="17"/>
      <c r="BS868" s="17"/>
      <c r="BT868" s="17"/>
      <c r="BU868" s="17"/>
      <c r="BV868" s="17"/>
      <c r="BW868" s="17"/>
      <c r="BX868" s="17"/>
      <c r="BY868" s="17"/>
      <c r="BZ868" s="17"/>
      <c r="CA868" s="17"/>
      <c r="CB868" s="17"/>
      <c r="CC868" s="17"/>
      <c r="CD868" s="17"/>
      <c r="CE868" s="17"/>
      <c r="CF868" s="17"/>
      <c r="CG868" s="17"/>
      <c r="CH868" s="17"/>
      <c r="CI868" s="17"/>
      <c r="CJ868" s="17"/>
      <c r="CK868" s="17"/>
      <c r="CL868" s="17"/>
      <c r="CM868" s="17"/>
      <c r="CN868" s="17"/>
      <c r="CO868" s="17"/>
      <c r="CP868" s="17"/>
      <c r="CQ868" s="17"/>
      <c r="CR868" s="17"/>
      <c r="CS868" s="17"/>
      <c r="CT868" s="17"/>
      <c r="CU868" s="17"/>
      <c r="CV868" s="17"/>
      <c r="CW868" s="17"/>
      <c r="CX868" s="17"/>
      <c r="CY868" s="17"/>
      <c r="CZ868" s="17"/>
      <c r="DA868" s="17"/>
      <c r="DB868" s="17"/>
      <c r="DC868" s="17"/>
      <c r="DD868" s="17"/>
      <c r="DE868" s="17"/>
      <c r="DF868" s="17"/>
      <c r="DG868" s="17"/>
      <c r="DH868" s="17"/>
      <c r="DI868" s="17"/>
      <c r="DJ868" s="17"/>
      <c r="DK868" s="17"/>
      <c r="DL868" s="17"/>
      <c r="DM868" s="17"/>
      <c r="DN868" s="17"/>
      <c r="DO868" s="17"/>
      <c r="DP868" s="17"/>
      <c r="DQ868" s="17"/>
      <c r="DR868" s="17"/>
      <c r="DS868" s="17"/>
      <c r="DT868" s="17"/>
      <c r="DU868" s="17"/>
      <c r="DV868" s="17"/>
      <c r="DW868" s="17"/>
    </row>
    <row r="869" spans="1:127" ht="18" customHeight="1">
      <c r="A869" s="16"/>
      <c r="B869" s="16"/>
      <c r="C869" s="16"/>
      <c r="D869" s="16"/>
      <c r="E869" s="16"/>
      <c r="F869" s="16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  <c r="BK869" s="17"/>
      <c r="BL869" s="17"/>
      <c r="BM869" s="17"/>
      <c r="BN869" s="17"/>
      <c r="BO869" s="17"/>
      <c r="BP869" s="17"/>
      <c r="BQ869" s="17"/>
      <c r="BR869" s="17"/>
      <c r="BS869" s="17"/>
      <c r="BT869" s="17"/>
      <c r="BU869" s="17"/>
      <c r="BV869" s="17"/>
      <c r="BW869" s="17"/>
      <c r="BX869" s="17"/>
      <c r="BY869" s="17"/>
      <c r="BZ869" s="17"/>
      <c r="CA869" s="17"/>
      <c r="CB869" s="17"/>
      <c r="CC869" s="17"/>
      <c r="CD869" s="17"/>
      <c r="CE869" s="17"/>
      <c r="CF869" s="17"/>
      <c r="CG869" s="17"/>
      <c r="CH869" s="17"/>
      <c r="CI869" s="17"/>
      <c r="CJ869" s="17"/>
      <c r="CK869" s="17"/>
      <c r="CL869" s="17"/>
      <c r="CM869" s="17"/>
      <c r="CN869" s="17"/>
      <c r="CO869" s="17"/>
      <c r="CP869" s="17"/>
      <c r="CQ869" s="17"/>
      <c r="CR869" s="17"/>
      <c r="CS869" s="17"/>
      <c r="CT869" s="17"/>
      <c r="CU869" s="17"/>
      <c r="CV869" s="17"/>
      <c r="CW869" s="17"/>
      <c r="CX869" s="17"/>
      <c r="CY869" s="17"/>
      <c r="CZ869" s="17"/>
      <c r="DA869" s="17"/>
      <c r="DB869" s="17"/>
      <c r="DC869" s="17"/>
      <c r="DD869" s="17"/>
      <c r="DE869" s="17"/>
      <c r="DF869" s="17"/>
      <c r="DG869" s="17"/>
      <c r="DH869" s="17"/>
      <c r="DI869" s="17"/>
      <c r="DJ869" s="17"/>
      <c r="DK869" s="17"/>
      <c r="DL869" s="17"/>
      <c r="DM869" s="17"/>
      <c r="DN869" s="17"/>
      <c r="DO869" s="17"/>
      <c r="DP869" s="17"/>
      <c r="DQ869" s="17"/>
      <c r="DR869" s="17"/>
      <c r="DS869" s="17"/>
      <c r="DT869" s="17"/>
      <c r="DU869" s="17"/>
      <c r="DV869" s="17"/>
      <c r="DW869" s="17"/>
    </row>
    <row r="870" spans="1:127" ht="18" customHeight="1">
      <c r="A870" s="16"/>
      <c r="B870" s="16"/>
      <c r="C870" s="16"/>
      <c r="D870" s="16"/>
      <c r="E870" s="16"/>
      <c r="F870" s="16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  <c r="CR870" s="17"/>
      <c r="CS870" s="17"/>
      <c r="CT870" s="17"/>
      <c r="CU870" s="17"/>
      <c r="CV870" s="17"/>
      <c r="CW870" s="17"/>
      <c r="CX870" s="17"/>
      <c r="CY870" s="17"/>
      <c r="CZ870" s="17"/>
      <c r="DA870" s="17"/>
      <c r="DB870" s="17"/>
      <c r="DC870" s="17"/>
      <c r="DD870" s="17"/>
      <c r="DE870" s="17"/>
      <c r="DF870" s="17"/>
      <c r="DG870" s="17"/>
      <c r="DH870" s="17"/>
      <c r="DI870" s="17"/>
      <c r="DJ870" s="17"/>
      <c r="DK870" s="17"/>
      <c r="DL870" s="17"/>
      <c r="DM870" s="17"/>
      <c r="DN870" s="17"/>
      <c r="DO870" s="17"/>
      <c r="DP870" s="17"/>
      <c r="DQ870" s="17"/>
      <c r="DR870" s="17"/>
      <c r="DS870" s="17"/>
      <c r="DT870" s="17"/>
      <c r="DU870" s="17"/>
      <c r="DV870" s="17"/>
      <c r="DW870" s="17"/>
    </row>
    <row r="871" spans="1:127" ht="18" customHeight="1">
      <c r="A871" s="16"/>
      <c r="B871" s="16"/>
      <c r="C871" s="16"/>
      <c r="D871" s="16"/>
      <c r="E871" s="16"/>
      <c r="F871" s="16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  <c r="CR871" s="17"/>
      <c r="CS871" s="17"/>
      <c r="CT871" s="17"/>
      <c r="CU871" s="17"/>
      <c r="CV871" s="17"/>
      <c r="CW871" s="17"/>
      <c r="CX871" s="17"/>
      <c r="CY871" s="17"/>
      <c r="CZ871" s="17"/>
      <c r="DA871" s="17"/>
      <c r="DB871" s="17"/>
      <c r="DC871" s="17"/>
      <c r="DD871" s="17"/>
      <c r="DE871" s="17"/>
      <c r="DF871" s="17"/>
      <c r="DG871" s="17"/>
      <c r="DH871" s="17"/>
      <c r="DI871" s="17"/>
      <c r="DJ871" s="17"/>
      <c r="DK871" s="17"/>
      <c r="DL871" s="17"/>
      <c r="DM871" s="17"/>
      <c r="DN871" s="17"/>
      <c r="DO871" s="17"/>
      <c r="DP871" s="17"/>
      <c r="DQ871" s="17"/>
      <c r="DR871" s="17"/>
      <c r="DS871" s="17"/>
      <c r="DT871" s="17"/>
      <c r="DU871" s="17"/>
      <c r="DV871" s="17"/>
      <c r="DW871" s="17"/>
    </row>
    <row r="872" spans="1:127" ht="18" customHeight="1">
      <c r="A872" s="16"/>
      <c r="B872" s="16"/>
      <c r="C872" s="16"/>
      <c r="D872" s="16"/>
      <c r="E872" s="16"/>
      <c r="F872" s="16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  <c r="CR872" s="17"/>
      <c r="CS872" s="17"/>
      <c r="CT872" s="17"/>
      <c r="CU872" s="17"/>
      <c r="CV872" s="17"/>
      <c r="CW872" s="17"/>
      <c r="CX872" s="17"/>
      <c r="CY872" s="17"/>
      <c r="CZ872" s="17"/>
      <c r="DA872" s="17"/>
      <c r="DB872" s="17"/>
      <c r="DC872" s="17"/>
      <c r="DD872" s="17"/>
      <c r="DE872" s="17"/>
      <c r="DF872" s="17"/>
      <c r="DG872" s="17"/>
      <c r="DH872" s="17"/>
      <c r="DI872" s="17"/>
      <c r="DJ872" s="17"/>
      <c r="DK872" s="17"/>
      <c r="DL872" s="17"/>
      <c r="DM872" s="17"/>
      <c r="DN872" s="17"/>
      <c r="DO872" s="17"/>
      <c r="DP872" s="17"/>
      <c r="DQ872" s="17"/>
      <c r="DR872" s="17"/>
      <c r="DS872" s="17"/>
      <c r="DT872" s="17"/>
      <c r="DU872" s="17"/>
      <c r="DV872" s="17"/>
      <c r="DW872" s="17"/>
    </row>
    <row r="873" spans="1:127" ht="18" customHeight="1">
      <c r="A873" s="16"/>
      <c r="B873" s="16"/>
      <c r="C873" s="16"/>
      <c r="D873" s="16"/>
      <c r="E873" s="16"/>
      <c r="F873" s="16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  <c r="BK873" s="17"/>
      <c r="BL873" s="17"/>
      <c r="BM873" s="17"/>
      <c r="BN873" s="17"/>
      <c r="BO873" s="17"/>
      <c r="BP873" s="17"/>
      <c r="BQ873" s="17"/>
      <c r="BR873" s="17"/>
      <c r="BS873" s="17"/>
      <c r="BT873" s="17"/>
      <c r="BU873" s="17"/>
      <c r="BV873" s="17"/>
      <c r="BW873" s="17"/>
      <c r="BX873" s="17"/>
      <c r="BY873" s="17"/>
      <c r="BZ873" s="17"/>
      <c r="CA873" s="17"/>
      <c r="CB873" s="17"/>
      <c r="CC873" s="17"/>
      <c r="CD873" s="17"/>
      <c r="CE873" s="17"/>
      <c r="CF873" s="17"/>
      <c r="CG873" s="17"/>
      <c r="CH873" s="17"/>
      <c r="CI873" s="17"/>
      <c r="CJ873" s="17"/>
      <c r="CK873" s="17"/>
      <c r="CL873" s="17"/>
      <c r="CM873" s="17"/>
      <c r="CN873" s="17"/>
      <c r="CO873" s="17"/>
      <c r="CP873" s="17"/>
      <c r="CQ873" s="17"/>
      <c r="CR873" s="17"/>
      <c r="CS873" s="17"/>
      <c r="CT873" s="17"/>
      <c r="CU873" s="17"/>
      <c r="CV873" s="17"/>
      <c r="CW873" s="17"/>
      <c r="CX873" s="17"/>
      <c r="CY873" s="17"/>
      <c r="CZ873" s="17"/>
      <c r="DA873" s="17"/>
      <c r="DB873" s="17"/>
      <c r="DC873" s="17"/>
      <c r="DD873" s="17"/>
      <c r="DE873" s="17"/>
      <c r="DF873" s="17"/>
      <c r="DG873" s="17"/>
      <c r="DH873" s="17"/>
      <c r="DI873" s="17"/>
      <c r="DJ873" s="17"/>
      <c r="DK873" s="17"/>
      <c r="DL873" s="17"/>
      <c r="DM873" s="17"/>
      <c r="DN873" s="17"/>
      <c r="DO873" s="17"/>
      <c r="DP873" s="17"/>
      <c r="DQ873" s="17"/>
      <c r="DR873" s="17"/>
      <c r="DS873" s="17"/>
      <c r="DT873" s="17"/>
      <c r="DU873" s="17"/>
      <c r="DV873" s="17"/>
      <c r="DW873" s="17"/>
    </row>
    <row r="874" spans="1:127" ht="18" customHeight="1">
      <c r="A874" s="16"/>
      <c r="B874" s="16"/>
      <c r="C874" s="16"/>
      <c r="D874" s="16"/>
      <c r="E874" s="16"/>
      <c r="F874" s="16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  <c r="BK874" s="17"/>
      <c r="BL874" s="17"/>
      <c r="BM874" s="17"/>
      <c r="BN874" s="17"/>
      <c r="BO874" s="17"/>
      <c r="BP874" s="17"/>
      <c r="BQ874" s="17"/>
      <c r="BR874" s="17"/>
      <c r="BS874" s="17"/>
      <c r="BT874" s="17"/>
      <c r="BU874" s="17"/>
      <c r="BV874" s="17"/>
      <c r="BW874" s="17"/>
      <c r="BX874" s="17"/>
      <c r="BY874" s="17"/>
      <c r="BZ874" s="17"/>
      <c r="CA874" s="17"/>
      <c r="CB874" s="17"/>
      <c r="CC874" s="17"/>
      <c r="CD874" s="17"/>
      <c r="CE874" s="17"/>
      <c r="CF874" s="17"/>
      <c r="CG874" s="17"/>
      <c r="CH874" s="17"/>
      <c r="CI874" s="17"/>
      <c r="CJ874" s="17"/>
      <c r="CK874" s="17"/>
      <c r="CL874" s="17"/>
      <c r="CM874" s="17"/>
      <c r="CN874" s="17"/>
      <c r="CO874" s="17"/>
      <c r="CP874" s="17"/>
      <c r="CQ874" s="17"/>
      <c r="CR874" s="17"/>
      <c r="CS874" s="17"/>
      <c r="CT874" s="17"/>
      <c r="CU874" s="17"/>
      <c r="CV874" s="17"/>
      <c r="CW874" s="17"/>
      <c r="CX874" s="17"/>
      <c r="CY874" s="17"/>
      <c r="CZ874" s="17"/>
      <c r="DA874" s="17"/>
      <c r="DB874" s="17"/>
      <c r="DC874" s="17"/>
      <c r="DD874" s="17"/>
      <c r="DE874" s="17"/>
      <c r="DF874" s="17"/>
      <c r="DG874" s="17"/>
      <c r="DH874" s="17"/>
      <c r="DI874" s="17"/>
      <c r="DJ874" s="17"/>
      <c r="DK874" s="17"/>
      <c r="DL874" s="17"/>
      <c r="DM874" s="17"/>
      <c r="DN874" s="17"/>
      <c r="DO874" s="17"/>
      <c r="DP874" s="17"/>
      <c r="DQ874" s="17"/>
      <c r="DR874" s="17"/>
      <c r="DS874" s="17"/>
      <c r="DT874" s="17"/>
      <c r="DU874" s="17"/>
      <c r="DV874" s="17"/>
      <c r="DW874" s="17"/>
    </row>
    <row r="875" spans="1:127" ht="18" customHeight="1">
      <c r="A875" s="16"/>
      <c r="B875" s="16"/>
      <c r="C875" s="16"/>
      <c r="D875" s="16"/>
      <c r="E875" s="16"/>
      <c r="F875" s="16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  <c r="CR875" s="17"/>
      <c r="CS875" s="17"/>
      <c r="CT875" s="17"/>
      <c r="CU875" s="17"/>
      <c r="CV875" s="17"/>
      <c r="CW875" s="17"/>
      <c r="CX875" s="17"/>
      <c r="CY875" s="17"/>
      <c r="CZ875" s="17"/>
      <c r="DA875" s="17"/>
      <c r="DB875" s="17"/>
      <c r="DC875" s="17"/>
      <c r="DD875" s="17"/>
      <c r="DE875" s="17"/>
      <c r="DF875" s="17"/>
      <c r="DG875" s="17"/>
      <c r="DH875" s="17"/>
      <c r="DI875" s="17"/>
      <c r="DJ875" s="17"/>
      <c r="DK875" s="17"/>
      <c r="DL875" s="17"/>
      <c r="DM875" s="17"/>
      <c r="DN875" s="17"/>
      <c r="DO875" s="17"/>
      <c r="DP875" s="17"/>
      <c r="DQ875" s="17"/>
      <c r="DR875" s="17"/>
      <c r="DS875" s="17"/>
      <c r="DT875" s="17"/>
      <c r="DU875" s="17"/>
      <c r="DV875" s="17"/>
      <c r="DW875" s="17"/>
    </row>
    <row r="876" spans="1:127" ht="18" customHeight="1">
      <c r="A876" s="16"/>
      <c r="B876" s="16"/>
      <c r="C876" s="16"/>
      <c r="D876" s="16"/>
      <c r="E876" s="16"/>
      <c r="F876" s="16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  <c r="BK876" s="17"/>
      <c r="BL876" s="17"/>
      <c r="BM876" s="17"/>
      <c r="BN876" s="17"/>
      <c r="BO876" s="17"/>
      <c r="BP876" s="17"/>
      <c r="BQ876" s="17"/>
      <c r="BR876" s="17"/>
      <c r="BS876" s="17"/>
      <c r="BT876" s="17"/>
      <c r="BU876" s="17"/>
      <c r="BV876" s="17"/>
      <c r="BW876" s="17"/>
      <c r="BX876" s="17"/>
      <c r="BY876" s="17"/>
      <c r="BZ876" s="17"/>
      <c r="CA876" s="17"/>
      <c r="CB876" s="17"/>
      <c r="CC876" s="17"/>
      <c r="CD876" s="17"/>
      <c r="CE876" s="17"/>
      <c r="CF876" s="17"/>
      <c r="CG876" s="17"/>
      <c r="CH876" s="17"/>
      <c r="CI876" s="17"/>
      <c r="CJ876" s="17"/>
      <c r="CK876" s="17"/>
      <c r="CL876" s="17"/>
      <c r="CM876" s="17"/>
      <c r="CN876" s="17"/>
      <c r="CO876" s="17"/>
      <c r="CP876" s="17"/>
      <c r="CQ876" s="17"/>
      <c r="CR876" s="17"/>
      <c r="CS876" s="17"/>
      <c r="CT876" s="17"/>
      <c r="CU876" s="17"/>
      <c r="CV876" s="17"/>
      <c r="CW876" s="17"/>
      <c r="CX876" s="17"/>
      <c r="CY876" s="17"/>
      <c r="CZ876" s="17"/>
      <c r="DA876" s="17"/>
      <c r="DB876" s="17"/>
      <c r="DC876" s="17"/>
      <c r="DD876" s="17"/>
      <c r="DE876" s="17"/>
      <c r="DF876" s="17"/>
      <c r="DG876" s="17"/>
      <c r="DH876" s="17"/>
      <c r="DI876" s="17"/>
      <c r="DJ876" s="17"/>
      <c r="DK876" s="17"/>
      <c r="DL876" s="17"/>
      <c r="DM876" s="17"/>
      <c r="DN876" s="17"/>
      <c r="DO876" s="17"/>
      <c r="DP876" s="17"/>
      <c r="DQ876" s="17"/>
      <c r="DR876" s="17"/>
      <c r="DS876" s="17"/>
      <c r="DT876" s="17"/>
      <c r="DU876" s="17"/>
      <c r="DV876" s="17"/>
      <c r="DW876" s="17"/>
    </row>
    <row r="877" spans="1:127" ht="18" customHeight="1">
      <c r="A877" s="16"/>
      <c r="B877" s="16"/>
      <c r="C877" s="16"/>
      <c r="D877" s="16"/>
      <c r="E877" s="16"/>
      <c r="F877" s="16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  <c r="CR877" s="17"/>
      <c r="CS877" s="17"/>
      <c r="CT877" s="17"/>
      <c r="CU877" s="17"/>
      <c r="CV877" s="17"/>
      <c r="CW877" s="17"/>
      <c r="CX877" s="17"/>
      <c r="CY877" s="17"/>
      <c r="CZ877" s="17"/>
      <c r="DA877" s="17"/>
      <c r="DB877" s="17"/>
      <c r="DC877" s="17"/>
      <c r="DD877" s="17"/>
      <c r="DE877" s="17"/>
      <c r="DF877" s="17"/>
      <c r="DG877" s="17"/>
      <c r="DH877" s="17"/>
      <c r="DI877" s="17"/>
      <c r="DJ877" s="17"/>
      <c r="DK877" s="17"/>
      <c r="DL877" s="17"/>
      <c r="DM877" s="17"/>
      <c r="DN877" s="17"/>
      <c r="DO877" s="17"/>
      <c r="DP877" s="17"/>
      <c r="DQ877" s="17"/>
      <c r="DR877" s="17"/>
      <c r="DS877" s="17"/>
      <c r="DT877" s="17"/>
      <c r="DU877" s="17"/>
      <c r="DV877" s="17"/>
      <c r="DW877" s="17"/>
    </row>
    <row r="878" spans="1:127" ht="18" customHeight="1">
      <c r="A878" s="16"/>
      <c r="B878" s="16"/>
      <c r="C878" s="16"/>
      <c r="D878" s="16"/>
      <c r="E878" s="16"/>
      <c r="F878" s="16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  <c r="CR878" s="17"/>
      <c r="CS878" s="17"/>
      <c r="CT878" s="17"/>
      <c r="CU878" s="17"/>
      <c r="CV878" s="17"/>
      <c r="CW878" s="17"/>
      <c r="CX878" s="17"/>
      <c r="CY878" s="17"/>
      <c r="CZ878" s="17"/>
      <c r="DA878" s="17"/>
      <c r="DB878" s="17"/>
      <c r="DC878" s="17"/>
      <c r="DD878" s="17"/>
      <c r="DE878" s="17"/>
      <c r="DF878" s="17"/>
      <c r="DG878" s="17"/>
      <c r="DH878" s="17"/>
      <c r="DI878" s="17"/>
      <c r="DJ878" s="17"/>
      <c r="DK878" s="17"/>
      <c r="DL878" s="17"/>
      <c r="DM878" s="17"/>
      <c r="DN878" s="17"/>
      <c r="DO878" s="17"/>
      <c r="DP878" s="17"/>
      <c r="DQ878" s="17"/>
      <c r="DR878" s="17"/>
      <c r="DS878" s="17"/>
      <c r="DT878" s="17"/>
      <c r="DU878" s="17"/>
      <c r="DV878" s="17"/>
      <c r="DW878" s="17"/>
    </row>
    <row r="879" spans="1:127" ht="18" customHeight="1">
      <c r="A879" s="16"/>
      <c r="B879" s="16"/>
      <c r="C879" s="16"/>
      <c r="D879" s="16"/>
      <c r="E879" s="16"/>
      <c r="F879" s="16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  <c r="BK879" s="17"/>
      <c r="BL879" s="17"/>
      <c r="BM879" s="17"/>
      <c r="BN879" s="17"/>
      <c r="BO879" s="17"/>
      <c r="BP879" s="17"/>
      <c r="BQ879" s="17"/>
      <c r="BR879" s="17"/>
      <c r="BS879" s="17"/>
      <c r="BT879" s="17"/>
      <c r="BU879" s="17"/>
      <c r="BV879" s="17"/>
      <c r="BW879" s="17"/>
      <c r="BX879" s="17"/>
      <c r="BY879" s="17"/>
      <c r="BZ879" s="17"/>
      <c r="CA879" s="17"/>
      <c r="CB879" s="17"/>
      <c r="CC879" s="17"/>
      <c r="CD879" s="17"/>
      <c r="CE879" s="17"/>
      <c r="CF879" s="17"/>
      <c r="CG879" s="17"/>
      <c r="CH879" s="17"/>
      <c r="CI879" s="17"/>
      <c r="CJ879" s="17"/>
      <c r="CK879" s="17"/>
      <c r="CL879" s="17"/>
      <c r="CM879" s="17"/>
      <c r="CN879" s="17"/>
      <c r="CO879" s="17"/>
      <c r="CP879" s="17"/>
      <c r="CQ879" s="17"/>
      <c r="CR879" s="17"/>
      <c r="CS879" s="17"/>
      <c r="CT879" s="17"/>
      <c r="CU879" s="17"/>
      <c r="CV879" s="17"/>
      <c r="CW879" s="17"/>
      <c r="CX879" s="17"/>
      <c r="CY879" s="17"/>
      <c r="CZ879" s="17"/>
      <c r="DA879" s="17"/>
      <c r="DB879" s="17"/>
      <c r="DC879" s="17"/>
      <c r="DD879" s="17"/>
      <c r="DE879" s="17"/>
      <c r="DF879" s="17"/>
      <c r="DG879" s="17"/>
      <c r="DH879" s="17"/>
      <c r="DI879" s="17"/>
      <c r="DJ879" s="17"/>
      <c r="DK879" s="17"/>
      <c r="DL879" s="17"/>
      <c r="DM879" s="17"/>
      <c r="DN879" s="17"/>
      <c r="DO879" s="17"/>
      <c r="DP879" s="17"/>
      <c r="DQ879" s="17"/>
      <c r="DR879" s="17"/>
      <c r="DS879" s="17"/>
      <c r="DT879" s="17"/>
      <c r="DU879" s="17"/>
      <c r="DV879" s="17"/>
      <c r="DW879" s="17"/>
    </row>
    <row r="880" spans="1:127" ht="18" customHeight="1">
      <c r="A880" s="16"/>
      <c r="B880" s="16"/>
      <c r="C880" s="16"/>
      <c r="D880" s="16"/>
      <c r="E880" s="16"/>
      <c r="F880" s="16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  <c r="BK880" s="17"/>
      <c r="BL880" s="17"/>
      <c r="BM880" s="17"/>
      <c r="BN880" s="17"/>
      <c r="BO880" s="17"/>
      <c r="BP880" s="17"/>
      <c r="BQ880" s="17"/>
      <c r="BR880" s="17"/>
      <c r="BS880" s="17"/>
      <c r="BT880" s="17"/>
      <c r="BU880" s="17"/>
      <c r="BV880" s="17"/>
      <c r="BW880" s="17"/>
      <c r="BX880" s="17"/>
      <c r="BY880" s="17"/>
      <c r="BZ880" s="17"/>
      <c r="CA880" s="17"/>
      <c r="CB880" s="17"/>
      <c r="CC880" s="17"/>
      <c r="CD880" s="17"/>
      <c r="CE880" s="17"/>
      <c r="CF880" s="17"/>
      <c r="CG880" s="17"/>
      <c r="CH880" s="17"/>
      <c r="CI880" s="17"/>
      <c r="CJ880" s="17"/>
      <c r="CK880" s="17"/>
      <c r="CL880" s="17"/>
      <c r="CM880" s="17"/>
      <c r="CN880" s="17"/>
      <c r="CO880" s="17"/>
      <c r="CP880" s="17"/>
      <c r="CQ880" s="17"/>
      <c r="CR880" s="17"/>
      <c r="CS880" s="17"/>
      <c r="CT880" s="17"/>
      <c r="CU880" s="17"/>
      <c r="CV880" s="17"/>
      <c r="CW880" s="17"/>
      <c r="CX880" s="17"/>
      <c r="CY880" s="17"/>
      <c r="CZ880" s="17"/>
      <c r="DA880" s="17"/>
      <c r="DB880" s="17"/>
      <c r="DC880" s="17"/>
      <c r="DD880" s="17"/>
      <c r="DE880" s="17"/>
      <c r="DF880" s="17"/>
      <c r="DG880" s="17"/>
      <c r="DH880" s="17"/>
      <c r="DI880" s="17"/>
      <c r="DJ880" s="17"/>
      <c r="DK880" s="17"/>
      <c r="DL880" s="17"/>
      <c r="DM880" s="17"/>
      <c r="DN880" s="17"/>
      <c r="DO880" s="17"/>
      <c r="DP880" s="17"/>
      <c r="DQ880" s="17"/>
      <c r="DR880" s="17"/>
      <c r="DS880" s="17"/>
      <c r="DT880" s="17"/>
      <c r="DU880" s="17"/>
      <c r="DV880" s="17"/>
      <c r="DW880" s="17"/>
    </row>
    <row r="881" spans="1:127" ht="18" customHeight="1">
      <c r="A881" s="16"/>
      <c r="B881" s="16"/>
      <c r="C881" s="16"/>
      <c r="D881" s="16"/>
      <c r="E881" s="16"/>
      <c r="F881" s="16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  <c r="BK881" s="17"/>
      <c r="BL881" s="17"/>
      <c r="BM881" s="17"/>
      <c r="BN881" s="17"/>
      <c r="BO881" s="17"/>
      <c r="BP881" s="17"/>
      <c r="BQ881" s="17"/>
      <c r="BR881" s="17"/>
      <c r="BS881" s="17"/>
      <c r="BT881" s="17"/>
      <c r="BU881" s="17"/>
      <c r="BV881" s="17"/>
      <c r="BW881" s="17"/>
      <c r="BX881" s="17"/>
      <c r="BY881" s="17"/>
      <c r="BZ881" s="17"/>
      <c r="CA881" s="17"/>
      <c r="CB881" s="17"/>
      <c r="CC881" s="17"/>
      <c r="CD881" s="17"/>
      <c r="CE881" s="17"/>
      <c r="CF881" s="17"/>
      <c r="CG881" s="17"/>
      <c r="CH881" s="17"/>
      <c r="CI881" s="17"/>
      <c r="CJ881" s="17"/>
      <c r="CK881" s="17"/>
      <c r="CL881" s="17"/>
      <c r="CM881" s="17"/>
      <c r="CN881" s="17"/>
      <c r="CO881" s="17"/>
      <c r="CP881" s="17"/>
      <c r="CQ881" s="17"/>
      <c r="CR881" s="17"/>
      <c r="CS881" s="17"/>
      <c r="CT881" s="17"/>
      <c r="CU881" s="17"/>
      <c r="CV881" s="17"/>
      <c r="CW881" s="17"/>
      <c r="CX881" s="17"/>
      <c r="CY881" s="17"/>
      <c r="CZ881" s="17"/>
      <c r="DA881" s="17"/>
      <c r="DB881" s="17"/>
      <c r="DC881" s="17"/>
      <c r="DD881" s="17"/>
      <c r="DE881" s="17"/>
      <c r="DF881" s="17"/>
      <c r="DG881" s="17"/>
      <c r="DH881" s="17"/>
      <c r="DI881" s="17"/>
      <c r="DJ881" s="17"/>
      <c r="DK881" s="17"/>
      <c r="DL881" s="17"/>
      <c r="DM881" s="17"/>
      <c r="DN881" s="17"/>
      <c r="DO881" s="17"/>
      <c r="DP881" s="17"/>
      <c r="DQ881" s="17"/>
      <c r="DR881" s="17"/>
      <c r="DS881" s="17"/>
      <c r="DT881" s="17"/>
      <c r="DU881" s="17"/>
      <c r="DV881" s="17"/>
      <c r="DW881" s="17"/>
    </row>
    <row r="882" spans="1:127" ht="18" customHeight="1">
      <c r="A882" s="16"/>
      <c r="B882" s="16"/>
      <c r="C882" s="16"/>
      <c r="D882" s="16"/>
      <c r="E882" s="16"/>
      <c r="F882" s="16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  <c r="CR882" s="17"/>
      <c r="CS882" s="17"/>
      <c r="CT882" s="17"/>
      <c r="CU882" s="17"/>
      <c r="CV882" s="17"/>
      <c r="CW882" s="17"/>
      <c r="CX882" s="17"/>
      <c r="CY882" s="17"/>
      <c r="CZ882" s="17"/>
      <c r="DA882" s="17"/>
      <c r="DB882" s="17"/>
      <c r="DC882" s="17"/>
      <c r="DD882" s="17"/>
      <c r="DE882" s="17"/>
      <c r="DF882" s="17"/>
      <c r="DG882" s="17"/>
      <c r="DH882" s="17"/>
      <c r="DI882" s="17"/>
      <c r="DJ882" s="17"/>
      <c r="DK882" s="17"/>
      <c r="DL882" s="17"/>
      <c r="DM882" s="17"/>
      <c r="DN882" s="17"/>
      <c r="DO882" s="17"/>
      <c r="DP882" s="17"/>
      <c r="DQ882" s="17"/>
      <c r="DR882" s="17"/>
      <c r="DS882" s="17"/>
      <c r="DT882" s="17"/>
      <c r="DU882" s="17"/>
      <c r="DV882" s="17"/>
      <c r="DW882" s="17"/>
    </row>
    <row r="883" spans="1:127" ht="18" customHeight="1">
      <c r="A883" s="16"/>
      <c r="B883" s="16"/>
      <c r="C883" s="16"/>
      <c r="D883" s="16"/>
      <c r="E883" s="16"/>
      <c r="F883" s="16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  <c r="BK883" s="17"/>
      <c r="BL883" s="17"/>
      <c r="BM883" s="17"/>
      <c r="BN883" s="17"/>
      <c r="BO883" s="17"/>
      <c r="BP883" s="17"/>
      <c r="BQ883" s="17"/>
      <c r="BR883" s="17"/>
      <c r="BS883" s="17"/>
      <c r="BT883" s="17"/>
      <c r="BU883" s="17"/>
      <c r="BV883" s="17"/>
      <c r="BW883" s="17"/>
      <c r="BX883" s="17"/>
      <c r="BY883" s="17"/>
      <c r="BZ883" s="17"/>
      <c r="CA883" s="17"/>
      <c r="CB883" s="17"/>
      <c r="CC883" s="17"/>
      <c r="CD883" s="17"/>
      <c r="CE883" s="17"/>
      <c r="CF883" s="17"/>
      <c r="CG883" s="17"/>
      <c r="CH883" s="17"/>
      <c r="CI883" s="17"/>
      <c r="CJ883" s="17"/>
      <c r="CK883" s="17"/>
      <c r="CL883" s="17"/>
      <c r="CM883" s="17"/>
      <c r="CN883" s="17"/>
      <c r="CO883" s="17"/>
      <c r="CP883" s="17"/>
      <c r="CQ883" s="17"/>
      <c r="CR883" s="17"/>
      <c r="CS883" s="17"/>
      <c r="CT883" s="17"/>
      <c r="CU883" s="17"/>
      <c r="CV883" s="17"/>
      <c r="CW883" s="17"/>
      <c r="CX883" s="17"/>
      <c r="CY883" s="17"/>
      <c r="CZ883" s="17"/>
      <c r="DA883" s="17"/>
      <c r="DB883" s="17"/>
      <c r="DC883" s="17"/>
      <c r="DD883" s="17"/>
      <c r="DE883" s="17"/>
      <c r="DF883" s="17"/>
      <c r="DG883" s="17"/>
      <c r="DH883" s="17"/>
      <c r="DI883" s="17"/>
      <c r="DJ883" s="17"/>
      <c r="DK883" s="17"/>
      <c r="DL883" s="17"/>
      <c r="DM883" s="17"/>
      <c r="DN883" s="17"/>
      <c r="DO883" s="17"/>
      <c r="DP883" s="17"/>
      <c r="DQ883" s="17"/>
      <c r="DR883" s="17"/>
      <c r="DS883" s="17"/>
      <c r="DT883" s="17"/>
      <c r="DU883" s="17"/>
      <c r="DV883" s="17"/>
      <c r="DW883" s="17"/>
    </row>
    <row r="884" spans="1:127" ht="18" customHeight="1">
      <c r="A884" s="16"/>
      <c r="B884" s="16"/>
      <c r="C884" s="16"/>
      <c r="D884" s="16"/>
      <c r="E884" s="16"/>
      <c r="F884" s="16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  <c r="BK884" s="17"/>
      <c r="BL884" s="17"/>
      <c r="BM884" s="17"/>
      <c r="BN884" s="17"/>
      <c r="BO884" s="17"/>
      <c r="BP884" s="17"/>
      <c r="BQ884" s="17"/>
      <c r="BR884" s="17"/>
      <c r="BS884" s="17"/>
      <c r="BT884" s="17"/>
      <c r="BU884" s="17"/>
      <c r="BV884" s="17"/>
      <c r="BW884" s="17"/>
      <c r="BX884" s="17"/>
      <c r="BY884" s="17"/>
      <c r="BZ884" s="17"/>
      <c r="CA884" s="17"/>
      <c r="CB884" s="17"/>
      <c r="CC884" s="17"/>
      <c r="CD884" s="17"/>
      <c r="CE884" s="17"/>
      <c r="CF884" s="17"/>
      <c r="CG884" s="17"/>
      <c r="CH884" s="17"/>
      <c r="CI884" s="17"/>
      <c r="CJ884" s="17"/>
      <c r="CK884" s="17"/>
      <c r="CL884" s="17"/>
      <c r="CM884" s="17"/>
      <c r="CN884" s="17"/>
      <c r="CO884" s="17"/>
      <c r="CP884" s="17"/>
      <c r="CQ884" s="17"/>
      <c r="CR884" s="17"/>
      <c r="CS884" s="17"/>
      <c r="CT884" s="17"/>
      <c r="CU884" s="17"/>
      <c r="CV884" s="17"/>
      <c r="CW884" s="17"/>
      <c r="CX884" s="17"/>
      <c r="CY884" s="17"/>
      <c r="CZ884" s="17"/>
      <c r="DA884" s="17"/>
      <c r="DB884" s="17"/>
      <c r="DC884" s="17"/>
      <c r="DD884" s="17"/>
      <c r="DE884" s="17"/>
      <c r="DF884" s="17"/>
      <c r="DG884" s="17"/>
      <c r="DH884" s="17"/>
      <c r="DI884" s="17"/>
      <c r="DJ884" s="17"/>
      <c r="DK884" s="17"/>
      <c r="DL884" s="17"/>
      <c r="DM884" s="17"/>
      <c r="DN884" s="17"/>
      <c r="DO884" s="17"/>
      <c r="DP884" s="17"/>
      <c r="DQ884" s="17"/>
      <c r="DR884" s="17"/>
      <c r="DS884" s="17"/>
      <c r="DT884" s="17"/>
      <c r="DU884" s="17"/>
      <c r="DV884" s="17"/>
      <c r="DW884" s="17"/>
    </row>
    <row r="885" spans="1:127" ht="18" customHeight="1">
      <c r="A885" s="16"/>
      <c r="B885" s="16"/>
      <c r="C885" s="16"/>
      <c r="D885" s="16"/>
      <c r="E885" s="16"/>
      <c r="F885" s="16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  <c r="BK885" s="17"/>
      <c r="BL885" s="17"/>
      <c r="BM885" s="17"/>
      <c r="BN885" s="17"/>
      <c r="BO885" s="17"/>
      <c r="BP885" s="17"/>
      <c r="BQ885" s="17"/>
      <c r="BR885" s="17"/>
      <c r="BS885" s="17"/>
      <c r="BT885" s="17"/>
      <c r="BU885" s="17"/>
      <c r="BV885" s="17"/>
      <c r="BW885" s="17"/>
      <c r="BX885" s="17"/>
      <c r="BY885" s="17"/>
      <c r="BZ885" s="17"/>
      <c r="CA885" s="17"/>
      <c r="CB885" s="17"/>
      <c r="CC885" s="17"/>
      <c r="CD885" s="17"/>
      <c r="CE885" s="17"/>
      <c r="CF885" s="17"/>
      <c r="CG885" s="17"/>
      <c r="CH885" s="17"/>
      <c r="CI885" s="17"/>
      <c r="CJ885" s="17"/>
      <c r="CK885" s="17"/>
      <c r="CL885" s="17"/>
      <c r="CM885" s="17"/>
      <c r="CN885" s="17"/>
      <c r="CO885" s="17"/>
      <c r="CP885" s="17"/>
      <c r="CQ885" s="17"/>
      <c r="CR885" s="17"/>
      <c r="CS885" s="17"/>
      <c r="CT885" s="17"/>
      <c r="CU885" s="17"/>
      <c r="CV885" s="17"/>
      <c r="CW885" s="17"/>
      <c r="CX885" s="17"/>
      <c r="CY885" s="17"/>
      <c r="CZ885" s="17"/>
      <c r="DA885" s="17"/>
      <c r="DB885" s="17"/>
      <c r="DC885" s="17"/>
      <c r="DD885" s="17"/>
      <c r="DE885" s="17"/>
      <c r="DF885" s="17"/>
      <c r="DG885" s="17"/>
      <c r="DH885" s="17"/>
      <c r="DI885" s="17"/>
      <c r="DJ885" s="17"/>
      <c r="DK885" s="17"/>
      <c r="DL885" s="17"/>
      <c r="DM885" s="17"/>
      <c r="DN885" s="17"/>
      <c r="DO885" s="17"/>
      <c r="DP885" s="17"/>
      <c r="DQ885" s="17"/>
      <c r="DR885" s="17"/>
      <c r="DS885" s="17"/>
      <c r="DT885" s="17"/>
      <c r="DU885" s="17"/>
      <c r="DV885" s="17"/>
      <c r="DW885" s="17"/>
    </row>
    <row r="886" spans="1:127" ht="18" customHeight="1">
      <c r="A886" s="16"/>
      <c r="B886" s="16"/>
      <c r="C886" s="16"/>
      <c r="D886" s="16"/>
      <c r="E886" s="16"/>
      <c r="F886" s="16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  <c r="CR886" s="17"/>
      <c r="CS886" s="17"/>
      <c r="CT886" s="17"/>
      <c r="CU886" s="17"/>
      <c r="CV886" s="17"/>
      <c r="CW886" s="17"/>
      <c r="CX886" s="17"/>
      <c r="CY886" s="17"/>
      <c r="CZ886" s="17"/>
      <c r="DA886" s="17"/>
      <c r="DB886" s="17"/>
      <c r="DC886" s="17"/>
      <c r="DD886" s="17"/>
      <c r="DE886" s="17"/>
      <c r="DF886" s="17"/>
      <c r="DG886" s="17"/>
      <c r="DH886" s="17"/>
      <c r="DI886" s="17"/>
      <c r="DJ886" s="17"/>
      <c r="DK886" s="17"/>
      <c r="DL886" s="17"/>
      <c r="DM886" s="17"/>
      <c r="DN886" s="17"/>
      <c r="DO886" s="17"/>
      <c r="DP886" s="17"/>
      <c r="DQ886" s="17"/>
      <c r="DR886" s="17"/>
      <c r="DS886" s="17"/>
      <c r="DT886" s="17"/>
      <c r="DU886" s="17"/>
      <c r="DV886" s="17"/>
      <c r="DW886" s="17"/>
    </row>
    <row r="887" spans="1:127" ht="18" customHeight="1">
      <c r="A887" s="16"/>
      <c r="B887" s="16"/>
      <c r="C887" s="16"/>
      <c r="D887" s="16"/>
      <c r="E887" s="16"/>
      <c r="F887" s="16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  <c r="BK887" s="17"/>
      <c r="BL887" s="17"/>
      <c r="BM887" s="17"/>
      <c r="BN887" s="17"/>
      <c r="BO887" s="17"/>
      <c r="BP887" s="17"/>
      <c r="BQ887" s="17"/>
      <c r="BR887" s="17"/>
      <c r="BS887" s="17"/>
      <c r="BT887" s="17"/>
      <c r="BU887" s="17"/>
      <c r="BV887" s="17"/>
      <c r="BW887" s="17"/>
      <c r="BX887" s="17"/>
      <c r="BY887" s="17"/>
      <c r="BZ887" s="17"/>
      <c r="CA887" s="17"/>
      <c r="CB887" s="17"/>
      <c r="CC887" s="17"/>
      <c r="CD887" s="17"/>
      <c r="CE887" s="17"/>
      <c r="CF887" s="17"/>
      <c r="CG887" s="17"/>
      <c r="CH887" s="17"/>
      <c r="CI887" s="17"/>
      <c r="CJ887" s="17"/>
      <c r="CK887" s="17"/>
      <c r="CL887" s="17"/>
      <c r="CM887" s="17"/>
      <c r="CN887" s="17"/>
      <c r="CO887" s="17"/>
      <c r="CP887" s="17"/>
      <c r="CQ887" s="17"/>
      <c r="CR887" s="17"/>
      <c r="CS887" s="17"/>
      <c r="CT887" s="17"/>
      <c r="CU887" s="17"/>
      <c r="CV887" s="17"/>
      <c r="CW887" s="17"/>
      <c r="CX887" s="17"/>
      <c r="CY887" s="17"/>
      <c r="CZ887" s="17"/>
      <c r="DA887" s="17"/>
      <c r="DB887" s="17"/>
      <c r="DC887" s="17"/>
      <c r="DD887" s="17"/>
      <c r="DE887" s="17"/>
      <c r="DF887" s="17"/>
      <c r="DG887" s="17"/>
      <c r="DH887" s="17"/>
      <c r="DI887" s="17"/>
      <c r="DJ887" s="17"/>
      <c r="DK887" s="17"/>
      <c r="DL887" s="17"/>
      <c r="DM887" s="17"/>
      <c r="DN887" s="17"/>
      <c r="DO887" s="17"/>
      <c r="DP887" s="17"/>
      <c r="DQ887" s="17"/>
      <c r="DR887" s="17"/>
      <c r="DS887" s="17"/>
      <c r="DT887" s="17"/>
      <c r="DU887" s="17"/>
      <c r="DV887" s="17"/>
      <c r="DW887" s="17"/>
    </row>
    <row r="888" spans="1:127" ht="18" customHeight="1">
      <c r="A888" s="16"/>
      <c r="B888" s="16"/>
      <c r="C888" s="16"/>
      <c r="D888" s="16"/>
      <c r="E888" s="16"/>
      <c r="F888" s="16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  <c r="BK888" s="17"/>
      <c r="BL888" s="17"/>
      <c r="BM888" s="17"/>
      <c r="BN888" s="17"/>
      <c r="BO888" s="17"/>
      <c r="BP888" s="17"/>
      <c r="BQ888" s="17"/>
      <c r="BR888" s="17"/>
      <c r="BS888" s="17"/>
      <c r="BT888" s="17"/>
      <c r="BU888" s="17"/>
      <c r="BV888" s="17"/>
      <c r="BW888" s="17"/>
      <c r="BX888" s="17"/>
      <c r="BY888" s="17"/>
      <c r="BZ888" s="17"/>
      <c r="CA888" s="17"/>
      <c r="CB888" s="17"/>
      <c r="CC888" s="17"/>
      <c r="CD888" s="17"/>
      <c r="CE888" s="17"/>
      <c r="CF888" s="17"/>
      <c r="CG888" s="17"/>
      <c r="CH888" s="17"/>
      <c r="CI888" s="17"/>
      <c r="CJ888" s="17"/>
      <c r="CK888" s="17"/>
      <c r="CL888" s="17"/>
      <c r="CM888" s="17"/>
      <c r="CN888" s="17"/>
      <c r="CO888" s="17"/>
      <c r="CP888" s="17"/>
      <c r="CQ888" s="17"/>
      <c r="CR888" s="17"/>
      <c r="CS888" s="17"/>
      <c r="CT888" s="17"/>
      <c r="CU888" s="17"/>
      <c r="CV888" s="17"/>
      <c r="CW888" s="17"/>
      <c r="CX888" s="17"/>
      <c r="CY888" s="17"/>
      <c r="CZ888" s="17"/>
      <c r="DA888" s="17"/>
      <c r="DB888" s="17"/>
      <c r="DC888" s="17"/>
      <c r="DD888" s="17"/>
      <c r="DE888" s="17"/>
      <c r="DF888" s="17"/>
      <c r="DG888" s="17"/>
      <c r="DH888" s="17"/>
      <c r="DI888" s="17"/>
      <c r="DJ888" s="17"/>
      <c r="DK888" s="17"/>
      <c r="DL888" s="17"/>
      <c r="DM888" s="17"/>
      <c r="DN888" s="17"/>
      <c r="DO888" s="17"/>
      <c r="DP888" s="17"/>
      <c r="DQ888" s="17"/>
      <c r="DR888" s="17"/>
      <c r="DS888" s="17"/>
      <c r="DT888" s="17"/>
      <c r="DU888" s="17"/>
      <c r="DV888" s="17"/>
      <c r="DW888" s="17"/>
    </row>
    <row r="889" spans="1:127" ht="18" customHeight="1">
      <c r="A889" s="16"/>
      <c r="B889" s="16"/>
      <c r="C889" s="16"/>
      <c r="D889" s="16"/>
      <c r="E889" s="16"/>
      <c r="F889" s="16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  <c r="CR889" s="17"/>
      <c r="CS889" s="17"/>
      <c r="CT889" s="17"/>
      <c r="CU889" s="17"/>
      <c r="CV889" s="17"/>
      <c r="CW889" s="17"/>
      <c r="CX889" s="17"/>
      <c r="CY889" s="17"/>
      <c r="CZ889" s="17"/>
      <c r="DA889" s="17"/>
      <c r="DB889" s="17"/>
      <c r="DC889" s="17"/>
      <c r="DD889" s="17"/>
      <c r="DE889" s="17"/>
      <c r="DF889" s="17"/>
      <c r="DG889" s="17"/>
      <c r="DH889" s="17"/>
      <c r="DI889" s="17"/>
      <c r="DJ889" s="17"/>
      <c r="DK889" s="17"/>
      <c r="DL889" s="17"/>
      <c r="DM889" s="17"/>
      <c r="DN889" s="17"/>
      <c r="DO889" s="17"/>
      <c r="DP889" s="17"/>
      <c r="DQ889" s="17"/>
      <c r="DR889" s="17"/>
      <c r="DS889" s="17"/>
      <c r="DT889" s="17"/>
      <c r="DU889" s="17"/>
      <c r="DV889" s="17"/>
      <c r="DW889" s="17"/>
    </row>
    <row r="890" spans="1:127" ht="18" customHeight="1">
      <c r="A890" s="16"/>
      <c r="B890" s="16"/>
      <c r="C890" s="16"/>
      <c r="D890" s="16"/>
      <c r="E890" s="16"/>
      <c r="F890" s="16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  <c r="CR890" s="17"/>
      <c r="CS890" s="17"/>
      <c r="CT890" s="17"/>
      <c r="CU890" s="17"/>
      <c r="CV890" s="17"/>
      <c r="CW890" s="17"/>
      <c r="CX890" s="17"/>
      <c r="CY890" s="17"/>
      <c r="CZ890" s="17"/>
      <c r="DA890" s="17"/>
      <c r="DB890" s="17"/>
      <c r="DC890" s="17"/>
      <c r="DD890" s="17"/>
      <c r="DE890" s="17"/>
      <c r="DF890" s="17"/>
      <c r="DG890" s="17"/>
      <c r="DH890" s="17"/>
      <c r="DI890" s="17"/>
      <c r="DJ890" s="17"/>
      <c r="DK890" s="17"/>
      <c r="DL890" s="17"/>
      <c r="DM890" s="17"/>
      <c r="DN890" s="17"/>
      <c r="DO890" s="17"/>
      <c r="DP890" s="17"/>
      <c r="DQ890" s="17"/>
      <c r="DR890" s="17"/>
      <c r="DS890" s="17"/>
      <c r="DT890" s="17"/>
      <c r="DU890" s="17"/>
      <c r="DV890" s="17"/>
      <c r="DW890" s="17"/>
    </row>
    <row r="891" spans="1:127" ht="18" customHeight="1">
      <c r="A891" s="16"/>
      <c r="B891" s="16"/>
      <c r="C891" s="16"/>
      <c r="D891" s="16"/>
      <c r="E891" s="16"/>
      <c r="F891" s="16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  <c r="CR891" s="17"/>
      <c r="CS891" s="17"/>
      <c r="CT891" s="17"/>
      <c r="CU891" s="17"/>
      <c r="CV891" s="17"/>
      <c r="CW891" s="17"/>
      <c r="CX891" s="17"/>
      <c r="CY891" s="17"/>
      <c r="CZ891" s="17"/>
      <c r="DA891" s="17"/>
      <c r="DB891" s="17"/>
      <c r="DC891" s="17"/>
      <c r="DD891" s="17"/>
      <c r="DE891" s="17"/>
      <c r="DF891" s="17"/>
      <c r="DG891" s="17"/>
      <c r="DH891" s="17"/>
      <c r="DI891" s="17"/>
      <c r="DJ891" s="17"/>
      <c r="DK891" s="17"/>
      <c r="DL891" s="17"/>
      <c r="DM891" s="17"/>
      <c r="DN891" s="17"/>
      <c r="DO891" s="17"/>
      <c r="DP891" s="17"/>
      <c r="DQ891" s="17"/>
      <c r="DR891" s="17"/>
      <c r="DS891" s="17"/>
      <c r="DT891" s="17"/>
      <c r="DU891" s="17"/>
      <c r="DV891" s="17"/>
      <c r="DW891" s="17"/>
    </row>
    <row r="892" spans="1:127" ht="18" customHeight="1">
      <c r="A892" s="16"/>
      <c r="B892" s="16"/>
      <c r="C892" s="16"/>
      <c r="D892" s="16"/>
      <c r="E892" s="16"/>
      <c r="F892" s="16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  <c r="CR892" s="17"/>
      <c r="CS892" s="17"/>
      <c r="CT892" s="17"/>
      <c r="CU892" s="17"/>
      <c r="CV892" s="17"/>
      <c r="CW892" s="17"/>
      <c r="CX892" s="17"/>
      <c r="CY892" s="17"/>
      <c r="CZ892" s="17"/>
      <c r="DA892" s="17"/>
      <c r="DB892" s="17"/>
      <c r="DC892" s="17"/>
      <c r="DD892" s="17"/>
      <c r="DE892" s="17"/>
      <c r="DF892" s="17"/>
      <c r="DG892" s="17"/>
      <c r="DH892" s="17"/>
      <c r="DI892" s="17"/>
      <c r="DJ892" s="17"/>
      <c r="DK892" s="17"/>
      <c r="DL892" s="17"/>
      <c r="DM892" s="17"/>
      <c r="DN892" s="17"/>
      <c r="DO892" s="17"/>
      <c r="DP892" s="17"/>
      <c r="DQ892" s="17"/>
      <c r="DR892" s="17"/>
      <c r="DS892" s="17"/>
      <c r="DT892" s="17"/>
      <c r="DU892" s="17"/>
      <c r="DV892" s="17"/>
      <c r="DW892" s="17"/>
    </row>
    <row r="893" spans="1:127" ht="18" customHeight="1">
      <c r="A893" s="16"/>
      <c r="B893" s="16"/>
      <c r="C893" s="16"/>
      <c r="D893" s="16"/>
      <c r="E893" s="16"/>
      <c r="F893" s="16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  <c r="BK893" s="17"/>
      <c r="BL893" s="17"/>
      <c r="BM893" s="17"/>
      <c r="BN893" s="17"/>
      <c r="BO893" s="17"/>
      <c r="BP893" s="17"/>
      <c r="BQ893" s="17"/>
      <c r="BR893" s="17"/>
      <c r="BS893" s="17"/>
      <c r="BT893" s="17"/>
      <c r="BU893" s="17"/>
      <c r="BV893" s="17"/>
      <c r="BW893" s="17"/>
      <c r="BX893" s="17"/>
      <c r="BY893" s="17"/>
      <c r="BZ893" s="17"/>
      <c r="CA893" s="17"/>
      <c r="CB893" s="17"/>
      <c r="CC893" s="17"/>
      <c r="CD893" s="17"/>
      <c r="CE893" s="17"/>
      <c r="CF893" s="17"/>
      <c r="CG893" s="17"/>
      <c r="CH893" s="17"/>
      <c r="CI893" s="17"/>
      <c r="CJ893" s="17"/>
      <c r="CK893" s="17"/>
      <c r="CL893" s="17"/>
      <c r="CM893" s="17"/>
      <c r="CN893" s="17"/>
      <c r="CO893" s="17"/>
      <c r="CP893" s="17"/>
      <c r="CQ893" s="17"/>
      <c r="CR893" s="17"/>
      <c r="CS893" s="17"/>
      <c r="CT893" s="17"/>
      <c r="CU893" s="17"/>
      <c r="CV893" s="17"/>
      <c r="CW893" s="17"/>
      <c r="CX893" s="17"/>
      <c r="CY893" s="17"/>
      <c r="CZ893" s="17"/>
      <c r="DA893" s="17"/>
      <c r="DB893" s="17"/>
      <c r="DC893" s="17"/>
      <c r="DD893" s="17"/>
      <c r="DE893" s="17"/>
      <c r="DF893" s="17"/>
      <c r="DG893" s="17"/>
      <c r="DH893" s="17"/>
      <c r="DI893" s="17"/>
      <c r="DJ893" s="17"/>
      <c r="DK893" s="17"/>
      <c r="DL893" s="17"/>
      <c r="DM893" s="17"/>
      <c r="DN893" s="17"/>
      <c r="DO893" s="17"/>
      <c r="DP893" s="17"/>
      <c r="DQ893" s="17"/>
      <c r="DR893" s="17"/>
      <c r="DS893" s="17"/>
      <c r="DT893" s="17"/>
      <c r="DU893" s="17"/>
      <c r="DV893" s="17"/>
      <c r="DW893" s="17"/>
    </row>
    <row r="894" spans="1:127" ht="18" customHeight="1">
      <c r="A894" s="16"/>
      <c r="B894" s="16"/>
      <c r="C894" s="16"/>
      <c r="D894" s="16"/>
      <c r="E894" s="16"/>
      <c r="F894" s="16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  <c r="CR894" s="17"/>
      <c r="CS894" s="17"/>
      <c r="CT894" s="17"/>
      <c r="CU894" s="17"/>
      <c r="CV894" s="17"/>
      <c r="CW894" s="17"/>
      <c r="CX894" s="17"/>
      <c r="CY894" s="17"/>
      <c r="CZ894" s="17"/>
      <c r="DA894" s="17"/>
      <c r="DB894" s="17"/>
      <c r="DC894" s="17"/>
      <c r="DD894" s="17"/>
      <c r="DE894" s="17"/>
      <c r="DF894" s="17"/>
      <c r="DG894" s="17"/>
      <c r="DH894" s="17"/>
      <c r="DI894" s="17"/>
      <c r="DJ894" s="17"/>
      <c r="DK894" s="17"/>
      <c r="DL894" s="17"/>
      <c r="DM894" s="17"/>
      <c r="DN894" s="17"/>
      <c r="DO894" s="17"/>
      <c r="DP894" s="17"/>
      <c r="DQ894" s="17"/>
      <c r="DR894" s="17"/>
      <c r="DS894" s="17"/>
      <c r="DT894" s="17"/>
      <c r="DU894" s="17"/>
      <c r="DV894" s="17"/>
      <c r="DW894" s="17"/>
    </row>
    <row r="895" spans="1:127" ht="18" customHeight="1">
      <c r="A895" s="16"/>
      <c r="B895" s="16"/>
      <c r="C895" s="16"/>
      <c r="D895" s="16"/>
      <c r="E895" s="16"/>
      <c r="F895" s="16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  <c r="CR895" s="17"/>
      <c r="CS895" s="17"/>
      <c r="CT895" s="17"/>
      <c r="CU895" s="17"/>
      <c r="CV895" s="17"/>
      <c r="CW895" s="17"/>
      <c r="CX895" s="17"/>
      <c r="CY895" s="17"/>
      <c r="CZ895" s="17"/>
      <c r="DA895" s="17"/>
      <c r="DB895" s="17"/>
      <c r="DC895" s="17"/>
      <c r="DD895" s="17"/>
      <c r="DE895" s="17"/>
      <c r="DF895" s="17"/>
      <c r="DG895" s="17"/>
      <c r="DH895" s="17"/>
      <c r="DI895" s="17"/>
      <c r="DJ895" s="17"/>
      <c r="DK895" s="17"/>
      <c r="DL895" s="17"/>
      <c r="DM895" s="17"/>
      <c r="DN895" s="17"/>
      <c r="DO895" s="17"/>
      <c r="DP895" s="17"/>
      <c r="DQ895" s="17"/>
      <c r="DR895" s="17"/>
      <c r="DS895" s="17"/>
      <c r="DT895" s="17"/>
      <c r="DU895" s="17"/>
      <c r="DV895" s="17"/>
      <c r="DW895" s="17"/>
    </row>
    <row r="896" spans="1:127" ht="18" customHeight="1">
      <c r="A896" s="16"/>
      <c r="B896" s="16"/>
      <c r="C896" s="16"/>
      <c r="D896" s="16"/>
      <c r="E896" s="16"/>
      <c r="F896" s="16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  <c r="CR896" s="17"/>
      <c r="CS896" s="17"/>
      <c r="CT896" s="17"/>
      <c r="CU896" s="17"/>
      <c r="CV896" s="17"/>
      <c r="CW896" s="17"/>
      <c r="CX896" s="17"/>
      <c r="CY896" s="17"/>
      <c r="CZ896" s="17"/>
      <c r="DA896" s="17"/>
      <c r="DB896" s="17"/>
      <c r="DC896" s="17"/>
      <c r="DD896" s="17"/>
      <c r="DE896" s="17"/>
      <c r="DF896" s="17"/>
      <c r="DG896" s="17"/>
      <c r="DH896" s="17"/>
      <c r="DI896" s="17"/>
      <c r="DJ896" s="17"/>
      <c r="DK896" s="17"/>
      <c r="DL896" s="17"/>
      <c r="DM896" s="17"/>
      <c r="DN896" s="17"/>
      <c r="DO896" s="17"/>
      <c r="DP896" s="17"/>
      <c r="DQ896" s="17"/>
      <c r="DR896" s="17"/>
      <c r="DS896" s="17"/>
      <c r="DT896" s="17"/>
      <c r="DU896" s="17"/>
      <c r="DV896" s="17"/>
      <c r="DW896" s="17"/>
    </row>
    <row r="897" spans="1:127" ht="18" customHeight="1">
      <c r="A897" s="16"/>
      <c r="B897" s="16"/>
      <c r="C897" s="16"/>
      <c r="D897" s="16"/>
      <c r="E897" s="16"/>
      <c r="F897" s="16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  <c r="BK897" s="17"/>
      <c r="BL897" s="17"/>
      <c r="BM897" s="17"/>
      <c r="BN897" s="17"/>
      <c r="BO897" s="17"/>
      <c r="BP897" s="17"/>
      <c r="BQ897" s="17"/>
      <c r="BR897" s="17"/>
      <c r="BS897" s="17"/>
      <c r="BT897" s="17"/>
      <c r="BU897" s="17"/>
      <c r="BV897" s="17"/>
      <c r="BW897" s="17"/>
      <c r="BX897" s="17"/>
      <c r="BY897" s="17"/>
      <c r="BZ897" s="17"/>
      <c r="CA897" s="17"/>
      <c r="CB897" s="17"/>
      <c r="CC897" s="17"/>
      <c r="CD897" s="17"/>
      <c r="CE897" s="17"/>
      <c r="CF897" s="17"/>
      <c r="CG897" s="17"/>
      <c r="CH897" s="17"/>
      <c r="CI897" s="17"/>
      <c r="CJ897" s="17"/>
      <c r="CK897" s="17"/>
      <c r="CL897" s="17"/>
      <c r="CM897" s="17"/>
      <c r="CN897" s="17"/>
      <c r="CO897" s="17"/>
      <c r="CP897" s="17"/>
      <c r="CQ897" s="17"/>
      <c r="CR897" s="17"/>
      <c r="CS897" s="17"/>
      <c r="CT897" s="17"/>
      <c r="CU897" s="17"/>
      <c r="CV897" s="17"/>
      <c r="CW897" s="17"/>
      <c r="CX897" s="17"/>
      <c r="CY897" s="17"/>
      <c r="CZ897" s="17"/>
      <c r="DA897" s="17"/>
      <c r="DB897" s="17"/>
      <c r="DC897" s="17"/>
      <c r="DD897" s="17"/>
      <c r="DE897" s="17"/>
      <c r="DF897" s="17"/>
      <c r="DG897" s="17"/>
      <c r="DH897" s="17"/>
      <c r="DI897" s="17"/>
      <c r="DJ897" s="17"/>
      <c r="DK897" s="17"/>
      <c r="DL897" s="17"/>
      <c r="DM897" s="17"/>
      <c r="DN897" s="17"/>
      <c r="DO897" s="17"/>
      <c r="DP897" s="17"/>
      <c r="DQ897" s="17"/>
      <c r="DR897" s="17"/>
      <c r="DS897" s="17"/>
      <c r="DT897" s="17"/>
      <c r="DU897" s="17"/>
      <c r="DV897" s="17"/>
      <c r="DW897" s="17"/>
    </row>
    <row r="898" spans="1:127" ht="18" customHeight="1">
      <c r="A898" s="16"/>
      <c r="B898" s="16"/>
      <c r="C898" s="16"/>
      <c r="D898" s="16"/>
      <c r="E898" s="16"/>
      <c r="F898" s="16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  <c r="CR898" s="17"/>
      <c r="CS898" s="17"/>
      <c r="CT898" s="17"/>
      <c r="CU898" s="17"/>
      <c r="CV898" s="17"/>
      <c r="CW898" s="17"/>
      <c r="CX898" s="17"/>
      <c r="CY898" s="17"/>
      <c r="CZ898" s="17"/>
      <c r="DA898" s="17"/>
      <c r="DB898" s="17"/>
      <c r="DC898" s="17"/>
      <c r="DD898" s="17"/>
      <c r="DE898" s="17"/>
      <c r="DF898" s="17"/>
      <c r="DG898" s="17"/>
      <c r="DH898" s="17"/>
      <c r="DI898" s="17"/>
      <c r="DJ898" s="17"/>
      <c r="DK898" s="17"/>
      <c r="DL898" s="17"/>
      <c r="DM898" s="17"/>
      <c r="DN898" s="17"/>
      <c r="DO898" s="17"/>
      <c r="DP898" s="17"/>
      <c r="DQ898" s="17"/>
      <c r="DR898" s="17"/>
      <c r="DS898" s="17"/>
      <c r="DT898" s="17"/>
      <c r="DU898" s="17"/>
      <c r="DV898" s="17"/>
      <c r="DW898" s="17"/>
    </row>
    <row r="899" spans="1:127" ht="18" customHeight="1">
      <c r="A899" s="16"/>
      <c r="B899" s="16"/>
      <c r="C899" s="16"/>
      <c r="D899" s="16"/>
      <c r="E899" s="16"/>
      <c r="F899" s="16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  <c r="BK899" s="17"/>
      <c r="BL899" s="17"/>
      <c r="BM899" s="17"/>
      <c r="BN899" s="17"/>
      <c r="BO899" s="17"/>
      <c r="BP899" s="17"/>
      <c r="BQ899" s="17"/>
      <c r="BR899" s="17"/>
      <c r="BS899" s="17"/>
      <c r="BT899" s="17"/>
      <c r="BU899" s="17"/>
      <c r="BV899" s="17"/>
      <c r="BW899" s="17"/>
      <c r="BX899" s="17"/>
      <c r="BY899" s="17"/>
      <c r="BZ899" s="17"/>
      <c r="CA899" s="17"/>
      <c r="CB899" s="17"/>
      <c r="CC899" s="17"/>
      <c r="CD899" s="17"/>
      <c r="CE899" s="17"/>
      <c r="CF899" s="17"/>
      <c r="CG899" s="17"/>
      <c r="CH899" s="17"/>
      <c r="CI899" s="17"/>
      <c r="CJ899" s="17"/>
      <c r="CK899" s="17"/>
      <c r="CL899" s="17"/>
      <c r="CM899" s="17"/>
      <c r="CN899" s="17"/>
      <c r="CO899" s="17"/>
      <c r="CP899" s="17"/>
      <c r="CQ899" s="17"/>
      <c r="CR899" s="17"/>
      <c r="CS899" s="17"/>
      <c r="CT899" s="17"/>
      <c r="CU899" s="17"/>
      <c r="CV899" s="17"/>
      <c r="CW899" s="17"/>
      <c r="CX899" s="17"/>
      <c r="CY899" s="17"/>
      <c r="CZ899" s="17"/>
      <c r="DA899" s="17"/>
      <c r="DB899" s="17"/>
      <c r="DC899" s="17"/>
      <c r="DD899" s="17"/>
      <c r="DE899" s="17"/>
      <c r="DF899" s="17"/>
      <c r="DG899" s="17"/>
      <c r="DH899" s="17"/>
      <c r="DI899" s="17"/>
      <c r="DJ899" s="17"/>
      <c r="DK899" s="17"/>
      <c r="DL899" s="17"/>
      <c r="DM899" s="17"/>
      <c r="DN899" s="17"/>
      <c r="DO899" s="17"/>
      <c r="DP899" s="17"/>
      <c r="DQ899" s="17"/>
      <c r="DR899" s="17"/>
      <c r="DS899" s="17"/>
      <c r="DT899" s="17"/>
      <c r="DU899" s="17"/>
      <c r="DV899" s="17"/>
      <c r="DW899" s="17"/>
    </row>
    <row r="900" spans="1:127" ht="18" customHeight="1">
      <c r="A900" s="16"/>
      <c r="B900" s="16"/>
      <c r="C900" s="16"/>
      <c r="D900" s="16"/>
      <c r="E900" s="16"/>
      <c r="F900" s="16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  <c r="CR900" s="17"/>
      <c r="CS900" s="17"/>
      <c r="CT900" s="17"/>
      <c r="CU900" s="17"/>
      <c r="CV900" s="17"/>
      <c r="CW900" s="17"/>
      <c r="CX900" s="17"/>
      <c r="CY900" s="17"/>
      <c r="CZ900" s="17"/>
      <c r="DA900" s="17"/>
      <c r="DB900" s="17"/>
      <c r="DC900" s="17"/>
      <c r="DD900" s="17"/>
      <c r="DE900" s="17"/>
      <c r="DF900" s="17"/>
      <c r="DG900" s="17"/>
      <c r="DH900" s="17"/>
      <c r="DI900" s="17"/>
      <c r="DJ900" s="17"/>
      <c r="DK900" s="17"/>
      <c r="DL900" s="17"/>
      <c r="DM900" s="17"/>
      <c r="DN900" s="17"/>
      <c r="DO900" s="17"/>
      <c r="DP900" s="17"/>
      <c r="DQ900" s="17"/>
      <c r="DR900" s="17"/>
      <c r="DS900" s="17"/>
      <c r="DT900" s="17"/>
      <c r="DU900" s="17"/>
      <c r="DV900" s="17"/>
      <c r="DW900" s="17"/>
    </row>
    <row r="901" spans="1:127" ht="18" customHeight="1">
      <c r="A901" s="16"/>
      <c r="B901" s="16"/>
      <c r="C901" s="16"/>
      <c r="D901" s="16"/>
      <c r="E901" s="16"/>
      <c r="F901" s="16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  <c r="BK901" s="17"/>
      <c r="BL901" s="17"/>
      <c r="BM901" s="17"/>
      <c r="BN901" s="17"/>
      <c r="BO901" s="17"/>
      <c r="BP901" s="17"/>
      <c r="BQ901" s="17"/>
      <c r="BR901" s="17"/>
      <c r="BS901" s="17"/>
      <c r="BT901" s="17"/>
      <c r="BU901" s="17"/>
      <c r="BV901" s="17"/>
      <c r="BW901" s="17"/>
      <c r="BX901" s="17"/>
      <c r="BY901" s="17"/>
      <c r="BZ901" s="17"/>
      <c r="CA901" s="17"/>
      <c r="CB901" s="17"/>
      <c r="CC901" s="17"/>
      <c r="CD901" s="17"/>
      <c r="CE901" s="17"/>
      <c r="CF901" s="17"/>
      <c r="CG901" s="17"/>
      <c r="CH901" s="17"/>
      <c r="CI901" s="17"/>
      <c r="CJ901" s="17"/>
      <c r="CK901" s="17"/>
      <c r="CL901" s="17"/>
      <c r="CM901" s="17"/>
      <c r="CN901" s="17"/>
      <c r="CO901" s="17"/>
      <c r="CP901" s="17"/>
      <c r="CQ901" s="17"/>
      <c r="CR901" s="17"/>
      <c r="CS901" s="17"/>
      <c r="CT901" s="17"/>
      <c r="CU901" s="17"/>
      <c r="CV901" s="17"/>
      <c r="CW901" s="17"/>
      <c r="CX901" s="17"/>
      <c r="CY901" s="17"/>
      <c r="CZ901" s="17"/>
      <c r="DA901" s="17"/>
      <c r="DB901" s="17"/>
      <c r="DC901" s="17"/>
      <c r="DD901" s="17"/>
      <c r="DE901" s="17"/>
      <c r="DF901" s="17"/>
      <c r="DG901" s="17"/>
      <c r="DH901" s="17"/>
      <c r="DI901" s="17"/>
      <c r="DJ901" s="17"/>
      <c r="DK901" s="17"/>
      <c r="DL901" s="17"/>
      <c r="DM901" s="17"/>
      <c r="DN901" s="17"/>
      <c r="DO901" s="17"/>
      <c r="DP901" s="17"/>
      <c r="DQ901" s="17"/>
      <c r="DR901" s="17"/>
      <c r="DS901" s="17"/>
      <c r="DT901" s="17"/>
      <c r="DU901" s="17"/>
      <c r="DV901" s="17"/>
      <c r="DW901" s="17"/>
    </row>
    <row r="902" spans="1:127" ht="18" customHeight="1">
      <c r="A902" s="16"/>
      <c r="B902" s="16"/>
      <c r="C902" s="16"/>
      <c r="D902" s="16"/>
      <c r="E902" s="16"/>
      <c r="F902" s="16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  <c r="CR902" s="17"/>
      <c r="CS902" s="17"/>
      <c r="CT902" s="17"/>
      <c r="CU902" s="17"/>
      <c r="CV902" s="17"/>
      <c r="CW902" s="17"/>
      <c r="CX902" s="17"/>
      <c r="CY902" s="17"/>
      <c r="CZ902" s="17"/>
      <c r="DA902" s="17"/>
      <c r="DB902" s="17"/>
      <c r="DC902" s="17"/>
      <c r="DD902" s="17"/>
      <c r="DE902" s="17"/>
      <c r="DF902" s="17"/>
      <c r="DG902" s="17"/>
      <c r="DH902" s="17"/>
      <c r="DI902" s="17"/>
      <c r="DJ902" s="17"/>
      <c r="DK902" s="17"/>
      <c r="DL902" s="17"/>
      <c r="DM902" s="17"/>
      <c r="DN902" s="17"/>
      <c r="DO902" s="17"/>
      <c r="DP902" s="17"/>
      <c r="DQ902" s="17"/>
      <c r="DR902" s="17"/>
      <c r="DS902" s="17"/>
      <c r="DT902" s="17"/>
      <c r="DU902" s="17"/>
      <c r="DV902" s="17"/>
      <c r="DW902" s="17"/>
    </row>
    <row r="903" spans="1:127" ht="18" customHeight="1">
      <c r="A903" s="16"/>
      <c r="B903" s="16"/>
      <c r="C903" s="16"/>
      <c r="D903" s="16"/>
      <c r="E903" s="16"/>
      <c r="F903" s="16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  <c r="CR903" s="17"/>
      <c r="CS903" s="17"/>
      <c r="CT903" s="17"/>
      <c r="CU903" s="17"/>
      <c r="CV903" s="17"/>
      <c r="CW903" s="17"/>
      <c r="CX903" s="17"/>
      <c r="CY903" s="17"/>
      <c r="CZ903" s="17"/>
      <c r="DA903" s="17"/>
      <c r="DB903" s="17"/>
      <c r="DC903" s="17"/>
      <c r="DD903" s="17"/>
      <c r="DE903" s="17"/>
      <c r="DF903" s="17"/>
      <c r="DG903" s="17"/>
      <c r="DH903" s="17"/>
      <c r="DI903" s="17"/>
      <c r="DJ903" s="17"/>
      <c r="DK903" s="17"/>
      <c r="DL903" s="17"/>
      <c r="DM903" s="17"/>
      <c r="DN903" s="17"/>
      <c r="DO903" s="17"/>
      <c r="DP903" s="17"/>
      <c r="DQ903" s="17"/>
      <c r="DR903" s="17"/>
      <c r="DS903" s="17"/>
      <c r="DT903" s="17"/>
      <c r="DU903" s="17"/>
      <c r="DV903" s="17"/>
      <c r="DW903" s="17"/>
    </row>
    <row r="904" spans="1:127" ht="18" customHeight="1">
      <c r="A904" s="16"/>
      <c r="B904" s="16"/>
      <c r="C904" s="16"/>
      <c r="D904" s="16"/>
      <c r="E904" s="16"/>
      <c r="F904" s="16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  <c r="CR904" s="17"/>
      <c r="CS904" s="17"/>
      <c r="CT904" s="17"/>
      <c r="CU904" s="17"/>
      <c r="CV904" s="17"/>
      <c r="CW904" s="17"/>
      <c r="CX904" s="17"/>
      <c r="CY904" s="17"/>
      <c r="CZ904" s="17"/>
      <c r="DA904" s="17"/>
      <c r="DB904" s="17"/>
      <c r="DC904" s="17"/>
      <c r="DD904" s="17"/>
      <c r="DE904" s="17"/>
      <c r="DF904" s="17"/>
      <c r="DG904" s="17"/>
      <c r="DH904" s="17"/>
      <c r="DI904" s="17"/>
      <c r="DJ904" s="17"/>
      <c r="DK904" s="17"/>
      <c r="DL904" s="17"/>
      <c r="DM904" s="17"/>
      <c r="DN904" s="17"/>
      <c r="DO904" s="17"/>
      <c r="DP904" s="17"/>
      <c r="DQ904" s="17"/>
      <c r="DR904" s="17"/>
      <c r="DS904" s="17"/>
      <c r="DT904" s="17"/>
      <c r="DU904" s="17"/>
      <c r="DV904" s="17"/>
      <c r="DW904" s="17"/>
    </row>
    <row r="905" spans="1:127" ht="18" customHeight="1">
      <c r="A905" s="16"/>
      <c r="B905" s="16"/>
      <c r="C905" s="16"/>
      <c r="D905" s="16"/>
      <c r="E905" s="16"/>
      <c r="F905" s="16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  <c r="CR905" s="17"/>
      <c r="CS905" s="17"/>
      <c r="CT905" s="17"/>
      <c r="CU905" s="17"/>
      <c r="CV905" s="17"/>
      <c r="CW905" s="17"/>
      <c r="CX905" s="17"/>
      <c r="CY905" s="17"/>
      <c r="CZ905" s="17"/>
      <c r="DA905" s="17"/>
      <c r="DB905" s="17"/>
      <c r="DC905" s="17"/>
      <c r="DD905" s="17"/>
      <c r="DE905" s="17"/>
      <c r="DF905" s="17"/>
      <c r="DG905" s="17"/>
      <c r="DH905" s="17"/>
      <c r="DI905" s="17"/>
      <c r="DJ905" s="17"/>
      <c r="DK905" s="17"/>
      <c r="DL905" s="17"/>
      <c r="DM905" s="17"/>
      <c r="DN905" s="17"/>
      <c r="DO905" s="17"/>
      <c r="DP905" s="17"/>
      <c r="DQ905" s="17"/>
      <c r="DR905" s="17"/>
      <c r="DS905" s="17"/>
      <c r="DT905" s="17"/>
      <c r="DU905" s="17"/>
      <c r="DV905" s="17"/>
      <c r="DW905" s="17"/>
    </row>
    <row r="906" spans="1:127" ht="18" customHeight="1">
      <c r="A906" s="16"/>
      <c r="B906" s="16"/>
      <c r="C906" s="16"/>
      <c r="D906" s="16"/>
      <c r="E906" s="16"/>
      <c r="F906" s="16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  <c r="CR906" s="17"/>
      <c r="CS906" s="17"/>
      <c r="CT906" s="17"/>
      <c r="CU906" s="17"/>
      <c r="CV906" s="17"/>
      <c r="CW906" s="17"/>
      <c r="CX906" s="17"/>
      <c r="CY906" s="17"/>
      <c r="CZ906" s="17"/>
      <c r="DA906" s="17"/>
      <c r="DB906" s="17"/>
      <c r="DC906" s="17"/>
      <c r="DD906" s="17"/>
      <c r="DE906" s="17"/>
      <c r="DF906" s="17"/>
      <c r="DG906" s="17"/>
      <c r="DH906" s="17"/>
      <c r="DI906" s="17"/>
      <c r="DJ906" s="17"/>
      <c r="DK906" s="17"/>
      <c r="DL906" s="17"/>
      <c r="DM906" s="17"/>
      <c r="DN906" s="17"/>
      <c r="DO906" s="17"/>
      <c r="DP906" s="17"/>
      <c r="DQ906" s="17"/>
      <c r="DR906" s="17"/>
      <c r="DS906" s="17"/>
      <c r="DT906" s="17"/>
      <c r="DU906" s="17"/>
      <c r="DV906" s="17"/>
      <c r="DW906" s="17"/>
    </row>
    <row r="907" spans="1:127" ht="18" customHeight="1">
      <c r="A907" s="16"/>
      <c r="B907" s="16"/>
      <c r="C907" s="16"/>
      <c r="D907" s="16"/>
      <c r="E907" s="16"/>
      <c r="F907" s="16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  <c r="CR907" s="17"/>
      <c r="CS907" s="17"/>
      <c r="CT907" s="17"/>
      <c r="CU907" s="17"/>
      <c r="CV907" s="17"/>
      <c r="CW907" s="17"/>
      <c r="CX907" s="17"/>
      <c r="CY907" s="17"/>
      <c r="CZ907" s="17"/>
      <c r="DA907" s="17"/>
      <c r="DB907" s="17"/>
      <c r="DC907" s="17"/>
      <c r="DD907" s="17"/>
      <c r="DE907" s="17"/>
      <c r="DF907" s="17"/>
      <c r="DG907" s="17"/>
      <c r="DH907" s="17"/>
      <c r="DI907" s="17"/>
      <c r="DJ907" s="17"/>
      <c r="DK907" s="17"/>
      <c r="DL907" s="17"/>
      <c r="DM907" s="17"/>
      <c r="DN907" s="17"/>
      <c r="DO907" s="17"/>
      <c r="DP907" s="17"/>
      <c r="DQ907" s="17"/>
      <c r="DR907" s="17"/>
      <c r="DS907" s="17"/>
      <c r="DT907" s="17"/>
      <c r="DU907" s="17"/>
      <c r="DV907" s="17"/>
      <c r="DW907" s="17"/>
    </row>
    <row r="908" spans="1:127" ht="18" customHeight="1">
      <c r="A908" s="16"/>
      <c r="B908" s="16"/>
      <c r="C908" s="16"/>
      <c r="D908" s="16"/>
      <c r="E908" s="16"/>
      <c r="F908" s="16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  <c r="CR908" s="17"/>
      <c r="CS908" s="17"/>
      <c r="CT908" s="17"/>
      <c r="CU908" s="17"/>
      <c r="CV908" s="17"/>
      <c r="CW908" s="17"/>
      <c r="CX908" s="17"/>
      <c r="CY908" s="17"/>
      <c r="CZ908" s="17"/>
      <c r="DA908" s="17"/>
      <c r="DB908" s="17"/>
      <c r="DC908" s="17"/>
      <c r="DD908" s="17"/>
      <c r="DE908" s="17"/>
      <c r="DF908" s="17"/>
      <c r="DG908" s="17"/>
      <c r="DH908" s="17"/>
      <c r="DI908" s="17"/>
      <c r="DJ908" s="17"/>
      <c r="DK908" s="17"/>
      <c r="DL908" s="17"/>
      <c r="DM908" s="17"/>
      <c r="DN908" s="17"/>
      <c r="DO908" s="17"/>
      <c r="DP908" s="17"/>
      <c r="DQ908" s="17"/>
      <c r="DR908" s="17"/>
      <c r="DS908" s="17"/>
      <c r="DT908" s="17"/>
      <c r="DU908" s="17"/>
      <c r="DV908" s="17"/>
      <c r="DW908" s="17"/>
    </row>
    <row r="909" spans="1:127" ht="18" customHeight="1">
      <c r="A909" s="16"/>
      <c r="B909" s="16"/>
      <c r="C909" s="16"/>
      <c r="D909" s="16"/>
      <c r="E909" s="16"/>
      <c r="F909" s="16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  <c r="BK909" s="17"/>
      <c r="BL909" s="17"/>
      <c r="BM909" s="17"/>
      <c r="BN909" s="17"/>
      <c r="BO909" s="17"/>
      <c r="BP909" s="17"/>
      <c r="BQ909" s="17"/>
      <c r="BR909" s="17"/>
      <c r="BS909" s="17"/>
      <c r="BT909" s="17"/>
      <c r="BU909" s="17"/>
      <c r="BV909" s="17"/>
      <c r="BW909" s="17"/>
      <c r="BX909" s="17"/>
      <c r="BY909" s="17"/>
      <c r="BZ909" s="17"/>
      <c r="CA909" s="17"/>
      <c r="CB909" s="17"/>
      <c r="CC909" s="17"/>
      <c r="CD909" s="17"/>
      <c r="CE909" s="17"/>
      <c r="CF909" s="17"/>
      <c r="CG909" s="17"/>
      <c r="CH909" s="17"/>
      <c r="CI909" s="17"/>
      <c r="CJ909" s="17"/>
      <c r="CK909" s="17"/>
      <c r="CL909" s="17"/>
      <c r="CM909" s="17"/>
      <c r="CN909" s="17"/>
      <c r="CO909" s="17"/>
      <c r="CP909" s="17"/>
      <c r="CQ909" s="17"/>
      <c r="CR909" s="17"/>
      <c r="CS909" s="17"/>
      <c r="CT909" s="17"/>
      <c r="CU909" s="17"/>
      <c r="CV909" s="17"/>
      <c r="CW909" s="17"/>
      <c r="CX909" s="17"/>
      <c r="CY909" s="17"/>
      <c r="CZ909" s="17"/>
      <c r="DA909" s="17"/>
      <c r="DB909" s="17"/>
      <c r="DC909" s="17"/>
      <c r="DD909" s="17"/>
      <c r="DE909" s="17"/>
      <c r="DF909" s="17"/>
      <c r="DG909" s="17"/>
      <c r="DH909" s="17"/>
      <c r="DI909" s="17"/>
      <c r="DJ909" s="17"/>
      <c r="DK909" s="17"/>
      <c r="DL909" s="17"/>
      <c r="DM909" s="17"/>
      <c r="DN909" s="17"/>
      <c r="DO909" s="17"/>
      <c r="DP909" s="17"/>
      <c r="DQ909" s="17"/>
      <c r="DR909" s="17"/>
      <c r="DS909" s="17"/>
      <c r="DT909" s="17"/>
      <c r="DU909" s="17"/>
      <c r="DV909" s="17"/>
      <c r="DW909" s="17"/>
    </row>
    <row r="910" spans="1:127" ht="18" customHeight="1">
      <c r="A910" s="16"/>
      <c r="B910" s="16"/>
      <c r="C910" s="16"/>
      <c r="D910" s="16"/>
      <c r="E910" s="16"/>
      <c r="F910" s="16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  <c r="BK910" s="17"/>
      <c r="BL910" s="17"/>
      <c r="BM910" s="17"/>
      <c r="BN910" s="17"/>
      <c r="BO910" s="17"/>
      <c r="BP910" s="17"/>
      <c r="BQ910" s="17"/>
      <c r="BR910" s="17"/>
      <c r="BS910" s="17"/>
      <c r="BT910" s="17"/>
      <c r="BU910" s="17"/>
      <c r="BV910" s="17"/>
      <c r="BW910" s="17"/>
      <c r="BX910" s="17"/>
      <c r="BY910" s="17"/>
      <c r="BZ910" s="17"/>
      <c r="CA910" s="17"/>
      <c r="CB910" s="17"/>
      <c r="CC910" s="17"/>
      <c r="CD910" s="17"/>
      <c r="CE910" s="17"/>
      <c r="CF910" s="17"/>
      <c r="CG910" s="17"/>
      <c r="CH910" s="17"/>
      <c r="CI910" s="17"/>
      <c r="CJ910" s="17"/>
      <c r="CK910" s="17"/>
      <c r="CL910" s="17"/>
      <c r="CM910" s="17"/>
      <c r="CN910" s="17"/>
      <c r="CO910" s="17"/>
      <c r="CP910" s="17"/>
      <c r="CQ910" s="17"/>
      <c r="CR910" s="17"/>
      <c r="CS910" s="17"/>
      <c r="CT910" s="17"/>
      <c r="CU910" s="17"/>
      <c r="CV910" s="17"/>
      <c r="CW910" s="17"/>
      <c r="CX910" s="17"/>
      <c r="CY910" s="17"/>
      <c r="CZ910" s="17"/>
      <c r="DA910" s="17"/>
      <c r="DB910" s="17"/>
      <c r="DC910" s="17"/>
      <c r="DD910" s="17"/>
      <c r="DE910" s="17"/>
      <c r="DF910" s="17"/>
      <c r="DG910" s="17"/>
      <c r="DH910" s="17"/>
      <c r="DI910" s="17"/>
      <c r="DJ910" s="17"/>
      <c r="DK910" s="17"/>
      <c r="DL910" s="17"/>
      <c r="DM910" s="17"/>
      <c r="DN910" s="17"/>
      <c r="DO910" s="17"/>
      <c r="DP910" s="17"/>
      <c r="DQ910" s="17"/>
      <c r="DR910" s="17"/>
      <c r="DS910" s="17"/>
      <c r="DT910" s="17"/>
      <c r="DU910" s="17"/>
      <c r="DV910" s="17"/>
      <c r="DW910" s="17"/>
    </row>
    <row r="911" spans="1:127" ht="18" customHeight="1">
      <c r="A911" s="16"/>
      <c r="B911" s="16"/>
      <c r="C911" s="16"/>
      <c r="D911" s="16"/>
      <c r="E911" s="16"/>
      <c r="F911" s="16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  <c r="BK911" s="17"/>
      <c r="BL911" s="17"/>
      <c r="BM911" s="17"/>
      <c r="BN911" s="17"/>
      <c r="BO911" s="17"/>
      <c r="BP911" s="17"/>
      <c r="BQ911" s="17"/>
      <c r="BR911" s="17"/>
      <c r="BS911" s="17"/>
      <c r="BT911" s="17"/>
      <c r="BU911" s="17"/>
      <c r="BV911" s="17"/>
      <c r="BW911" s="17"/>
      <c r="BX911" s="17"/>
      <c r="BY911" s="17"/>
      <c r="BZ911" s="17"/>
      <c r="CA911" s="17"/>
      <c r="CB911" s="17"/>
      <c r="CC911" s="17"/>
      <c r="CD911" s="17"/>
      <c r="CE911" s="17"/>
      <c r="CF911" s="17"/>
      <c r="CG911" s="17"/>
      <c r="CH911" s="17"/>
      <c r="CI911" s="17"/>
      <c r="CJ911" s="17"/>
      <c r="CK911" s="17"/>
      <c r="CL911" s="17"/>
      <c r="CM911" s="17"/>
      <c r="CN911" s="17"/>
      <c r="CO911" s="17"/>
      <c r="CP911" s="17"/>
      <c r="CQ911" s="17"/>
      <c r="CR911" s="17"/>
      <c r="CS911" s="17"/>
      <c r="CT911" s="17"/>
      <c r="CU911" s="17"/>
      <c r="CV911" s="17"/>
      <c r="CW911" s="17"/>
      <c r="CX911" s="17"/>
      <c r="CY911" s="17"/>
      <c r="CZ911" s="17"/>
      <c r="DA911" s="17"/>
      <c r="DB911" s="17"/>
      <c r="DC911" s="17"/>
      <c r="DD911" s="17"/>
      <c r="DE911" s="17"/>
      <c r="DF911" s="17"/>
      <c r="DG911" s="17"/>
      <c r="DH911" s="17"/>
      <c r="DI911" s="17"/>
      <c r="DJ911" s="17"/>
      <c r="DK911" s="17"/>
      <c r="DL911" s="17"/>
      <c r="DM911" s="17"/>
      <c r="DN911" s="17"/>
      <c r="DO911" s="17"/>
      <c r="DP911" s="17"/>
      <c r="DQ911" s="17"/>
      <c r="DR911" s="17"/>
      <c r="DS911" s="17"/>
      <c r="DT911" s="17"/>
      <c r="DU911" s="17"/>
      <c r="DV911" s="17"/>
      <c r="DW911" s="17"/>
    </row>
    <row r="912" spans="1:127" ht="18" customHeight="1">
      <c r="A912" s="16"/>
      <c r="B912" s="16"/>
      <c r="C912" s="16"/>
      <c r="D912" s="16"/>
      <c r="E912" s="16"/>
      <c r="F912" s="16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  <c r="BK912" s="17"/>
      <c r="BL912" s="17"/>
      <c r="BM912" s="17"/>
      <c r="BN912" s="17"/>
      <c r="BO912" s="17"/>
      <c r="BP912" s="17"/>
      <c r="BQ912" s="17"/>
      <c r="BR912" s="17"/>
      <c r="BS912" s="17"/>
      <c r="BT912" s="17"/>
      <c r="BU912" s="17"/>
      <c r="BV912" s="17"/>
      <c r="BW912" s="17"/>
      <c r="BX912" s="17"/>
      <c r="BY912" s="17"/>
      <c r="BZ912" s="17"/>
      <c r="CA912" s="17"/>
      <c r="CB912" s="17"/>
      <c r="CC912" s="17"/>
      <c r="CD912" s="17"/>
      <c r="CE912" s="17"/>
      <c r="CF912" s="17"/>
      <c r="CG912" s="17"/>
      <c r="CH912" s="17"/>
      <c r="CI912" s="17"/>
      <c r="CJ912" s="17"/>
      <c r="CK912" s="17"/>
      <c r="CL912" s="17"/>
      <c r="CM912" s="17"/>
      <c r="CN912" s="17"/>
      <c r="CO912" s="17"/>
      <c r="CP912" s="17"/>
      <c r="CQ912" s="17"/>
      <c r="CR912" s="17"/>
      <c r="CS912" s="17"/>
      <c r="CT912" s="17"/>
      <c r="CU912" s="17"/>
      <c r="CV912" s="17"/>
      <c r="CW912" s="17"/>
      <c r="CX912" s="17"/>
      <c r="CY912" s="17"/>
      <c r="CZ912" s="17"/>
      <c r="DA912" s="17"/>
      <c r="DB912" s="17"/>
      <c r="DC912" s="17"/>
      <c r="DD912" s="17"/>
      <c r="DE912" s="17"/>
      <c r="DF912" s="17"/>
      <c r="DG912" s="17"/>
      <c r="DH912" s="17"/>
      <c r="DI912" s="17"/>
      <c r="DJ912" s="17"/>
      <c r="DK912" s="17"/>
      <c r="DL912" s="17"/>
      <c r="DM912" s="17"/>
      <c r="DN912" s="17"/>
      <c r="DO912" s="17"/>
      <c r="DP912" s="17"/>
      <c r="DQ912" s="17"/>
      <c r="DR912" s="17"/>
      <c r="DS912" s="17"/>
      <c r="DT912" s="17"/>
      <c r="DU912" s="17"/>
      <c r="DV912" s="17"/>
      <c r="DW912" s="17"/>
    </row>
    <row r="913" spans="1:127" ht="18" customHeight="1">
      <c r="A913" s="16"/>
      <c r="B913" s="16"/>
      <c r="C913" s="16"/>
      <c r="D913" s="16"/>
      <c r="E913" s="16"/>
      <c r="F913" s="16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  <c r="CL913" s="17"/>
      <c r="CM913" s="17"/>
      <c r="CN913" s="17"/>
      <c r="CO913" s="17"/>
      <c r="CP913" s="17"/>
      <c r="CQ913" s="17"/>
      <c r="CR913" s="17"/>
      <c r="CS913" s="17"/>
      <c r="CT913" s="17"/>
      <c r="CU913" s="17"/>
      <c r="CV913" s="17"/>
      <c r="CW913" s="17"/>
      <c r="CX913" s="17"/>
      <c r="CY913" s="17"/>
      <c r="CZ913" s="17"/>
      <c r="DA913" s="17"/>
      <c r="DB913" s="17"/>
      <c r="DC913" s="17"/>
      <c r="DD913" s="17"/>
      <c r="DE913" s="17"/>
      <c r="DF913" s="17"/>
      <c r="DG913" s="17"/>
      <c r="DH913" s="17"/>
      <c r="DI913" s="17"/>
      <c r="DJ913" s="17"/>
      <c r="DK913" s="17"/>
      <c r="DL913" s="17"/>
      <c r="DM913" s="17"/>
      <c r="DN913" s="17"/>
      <c r="DO913" s="17"/>
      <c r="DP913" s="17"/>
      <c r="DQ913" s="17"/>
      <c r="DR913" s="17"/>
      <c r="DS913" s="17"/>
      <c r="DT913" s="17"/>
      <c r="DU913" s="17"/>
      <c r="DV913" s="17"/>
      <c r="DW913" s="17"/>
    </row>
    <row r="914" spans="1:127" ht="18" customHeight="1">
      <c r="A914" s="16"/>
      <c r="B914" s="16"/>
      <c r="C914" s="16"/>
      <c r="D914" s="16"/>
      <c r="E914" s="16"/>
      <c r="F914" s="16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  <c r="CL914" s="17"/>
      <c r="CM914" s="17"/>
      <c r="CN914" s="17"/>
      <c r="CO914" s="17"/>
      <c r="CP914" s="17"/>
      <c r="CQ914" s="17"/>
      <c r="CR914" s="17"/>
      <c r="CS914" s="17"/>
      <c r="CT914" s="17"/>
      <c r="CU914" s="17"/>
      <c r="CV914" s="17"/>
      <c r="CW914" s="17"/>
      <c r="CX914" s="17"/>
      <c r="CY914" s="17"/>
      <c r="CZ914" s="17"/>
      <c r="DA914" s="17"/>
      <c r="DB914" s="17"/>
      <c r="DC914" s="17"/>
      <c r="DD914" s="17"/>
      <c r="DE914" s="17"/>
      <c r="DF914" s="17"/>
      <c r="DG914" s="17"/>
      <c r="DH914" s="17"/>
      <c r="DI914" s="17"/>
      <c r="DJ914" s="17"/>
      <c r="DK914" s="17"/>
      <c r="DL914" s="17"/>
      <c r="DM914" s="17"/>
      <c r="DN914" s="17"/>
      <c r="DO914" s="17"/>
      <c r="DP914" s="17"/>
      <c r="DQ914" s="17"/>
      <c r="DR914" s="17"/>
      <c r="DS914" s="17"/>
      <c r="DT914" s="17"/>
      <c r="DU914" s="17"/>
      <c r="DV914" s="17"/>
      <c r="DW914" s="17"/>
    </row>
    <row r="915" spans="1:127" ht="18" customHeight="1">
      <c r="A915" s="16"/>
      <c r="B915" s="16"/>
      <c r="C915" s="16"/>
      <c r="D915" s="16"/>
      <c r="E915" s="16"/>
      <c r="F915" s="16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  <c r="BK915" s="17"/>
      <c r="BL915" s="17"/>
      <c r="BM915" s="17"/>
      <c r="BN915" s="17"/>
      <c r="BO915" s="17"/>
      <c r="BP915" s="17"/>
      <c r="BQ915" s="17"/>
      <c r="BR915" s="17"/>
      <c r="BS915" s="17"/>
      <c r="BT915" s="17"/>
      <c r="BU915" s="17"/>
      <c r="BV915" s="17"/>
      <c r="BW915" s="17"/>
      <c r="BX915" s="17"/>
      <c r="BY915" s="17"/>
      <c r="BZ915" s="17"/>
      <c r="CA915" s="17"/>
      <c r="CB915" s="17"/>
      <c r="CC915" s="17"/>
      <c r="CD915" s="17"/>
      <c r="CE915" s="17"/>
      <c r="CF915" s="17"/>
      <c r="CG915" s="17"/>
      <c r="CH915" s="17"/>
      <c r="CI915" s="17"/>
      <c r="CJ915" s="17"/>
      <c r="CK915" s="17"/>
      <c r="CL915" s="17"/>
      <c r="CM915" s="17"/>
      <c r="CN915" s="17"/>
      <c r="CO915" s="17"/>
      <c r="CP915" s="17"/>
      <c r="CQ915" s="17"/>
      <c r="CR915" s="17"/>
      <c r="CS915" s="17"/>
      <c r="CT915" s="17"/>
      <c r="CU915" s="17"/>
      <c r="CV915" s="17"/>
      <c r="CW915" s="17"/>
      <c r="CX915" s="17"/>
      <c r="CY915" s="17"/>
      <c r="CZ915" s="17"/>
      <c r="DA915" s="17"/>
      <c r="DB915" s="17"/>
      <c r="DC915" s="17"/>
      <c r="DD915" s="17"/>
      <c r="DE915" s="17"/>
      <c r="DF915" s="17"/>
      <c r="DG915" s="17"/>
      <c r="DH915" s="17"/>
      <c r="DI915" s="17"/>
      <c r="DJ915" s="17"/>
      <c r="DK915" s="17"/>
      <c r="DL915" s="17"/>
      <c r="DM915" s="17"/>
      <c r="DN915" s="17"/>
      <c r="DO915" s="17"/>
      <c r="DP915" s="17"/>
      <c r="DQ915" s="17"/>
      <c r="DR915" s="17"/>
      <c r="DS915" s="17"/>
      <c r="DT915" s="17"/>
      <c r="DU915" s="17"/>
      <c r="DV915" s="17"/>
      <c r="DW915" s="17"/>
    </row>
    <row r="916" spans="1:127" ht="18" customHeight="1">
      <c r="A916" s="16"/>
      <c r="B916" s="16"/>
      <c r="C916" s="16"/>
      <c r="D916" s="16"/>
      <c r="E916" s="16"/>
      <c r="F916" s="16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  <c r="BK916" s="17"/>
      <c r="BL916" s="17"/>
      <c r="BM916" s="17"/>
      <c r="BN916" s="17"/>
      <c r="BO916" s="17"/>
      <c r="BP916" s="17"/>
      <c r="BQ916" s="17"/>
      <c r="BR916" s="17"/>
      <c r="BS916" s="17"/>
      <c r="BT916" s="17"/>
      <c r="BU916" s="17"/>
      <c r="BV916" s="17"/>
      <c r="BW916" s="17"/>
      <c r="BX916" s="17"/>
      <c r="BY916" s="17"/>
      <c r="BZ916" s="17"/>
      <c r="CA916" s="17"/>
      <c r="CB916" s="17"/>
      <c r="CC916" s="17"/>
      <c r="CD916" s="17"/>
      <c r="CE916" s="17"/>
      <c r="CF916" s="17"/>
      <c r="CG916" s="17"/>
      <c r="CH916" s="17"/>
      <c r="CI916" s="17"/>
      <c r="CJ916" s="17"/>
      <c r="CK916" s="17"/>
      <c r="CL916" s="17"/>
      <c r="CM916" s="17"/>
      <c r="CN916" s="17"/>
      <c r="CO916" s="17"/>
      <c r="CP916" s="17"/>
      <c r="CQ916" s="17"/>
      <c r="CR916" s="17"/>
      <c r="CS916" s="17"/>
      <c r="CT916" s="17"/>
      <c r="CU916" s="17"/>
      <c r="CV916" s="17"/>
      <c r="CW916" s="17"/>
      <c r="CX916" s="17"/>
      <c r="CY916" s="17"/>
      <c r="CZ916" s="17"/>
      <c r="DA916" s="17"/>
      <c r="DB916" s="17"/>
      <c r="DC916" s="17"/>
      <c r="DD916" s="17"/>
      <c r="DE916" s="17"/>
      <c r="DF916" s="17"/>
      <c r="DG916" s="17"/>
      <c r="DH916" s="17"/>
      <c r="DI916" s="17"/>
      <c r="DJ916" s="17"/>
      <c r="DK916" s="17"/>
      <c r="DL916" s="17"/>
      <c r="DM916" s="17"/>
      <c r="DN916" s="17"/>
      <c r="DO916" s="17"/>
      <c r="DP916" s="17"/>
      <c r="DQ916" s="17"/>
      <c r="DR916" s="17"/>
      <c r="DS916" s="17"/>
      <c r="DT916" s="17"/>
      <c r="DU916" s="17"/>
      <c r="DV916" s="17"/>
      <c r="DW916" s="17"/>
    </row>
    <row r="917" spans="1:127" ht="18" customHeight="1">
      <c r="A917" s="16"/>
      <c r="B917" s="16"/>
      <c r="C917" s="16"/>
      <c r="D917" s="16"/>
      <c r="E917" s="16"/>
      <c r="F917" s="16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  <c r="BK917" s="17"/>
      <c r="BL917" s="17"/>
      <c r="BM917" s="17"/>
      <c r="BN917" s="17"/>
      <c r="BO917" s="17"/>
      <c r="BP917" s="17"/>
      <c r="BQ917" s="17"/>
      <c r="BR917" s="17"/>
      <c r="BS917" s="17"/>
      <c r="BT917" s="17"/>
      <c r="BU917" s="17"/>
      <c r="BV917" s="17"/>
      <c r="BW917" s="17"/>
      <c r="BX917" s="17"/>
      <c r="BY917" s="17"/>
      <c r="BZ917" s="17"/>
      <c r="CA917" s="17"/>
      <c r="CB917" s="17"/>
      <c r="CC917" s="17"/>
      <c r="CD917" s="17"/>
      <c r="CE917" s="17"/>
      <c r="CF917" s="17"/>
      <c r="CG917" s="17"/>
      <c r="CH917" s="17"/>
      <c r="CI917" s="17"/>
      <c r="CJ917" s="17"/>
      <c r="CK917" s="17"/>
      <c r="CL917" s="17"/>
      <c r="CM917" s="17"/>
      <c r="CN917" s="17"/>
      <c r="CO917" s="17"/>
      <c r="CP917" s="17"/>
      <c r="CQ917" s="17"/>
      <c r="CR917" s="17"/>
      <c r="CS917" s="17"/>
      <c r="CT917" s="17"/>
      <c r="CU917" s="17"/>
      <c r="CV917" s="17"/>
      <c r="CW917" s="17"/>
      <c r="CX917" s="17"/>
      <c r="CY917" s="17"/>
      <c r="CZ917" s="17"/>
      <c r="DA917" s="17"/>
      <c r="DB917" s="17"/>
      <c r="DC917" s="17"/>
      <c r="DD917" s="17"/>
      <c r="DE917" s="17"/>
      <c r="DF917" s="17"/>
      <c r="DG917" s="17"/>
      <c r="DH917" s="17"/>
      <c r="DI917" s="17"/>
      <c r="DJ917" s="17"/>
      <c r="DK917" s="17"/>
      <c r="DL917" s="17"/>
      <c r="DM917" s="17"/>
      <c r="DN917" s="17"/>
      <c r="DO917" s="17"/>
      <c r="DP917" s="17"/>
      <c r="DQ917" s="17"/>
      <c r="DR917" s="17"/>
      <c r="DS917" s="17"/>
      <c r="DT917" s="17"/>
      <c r="DU917" s="17"/>
      <c r="DV917" s="17"/>
      <c r="DW917" s="17"/>
    </row>
    <row r="918" spans="1:127" ht="18" customHeight="1">
      <c r="A918" s="16"/>
      <c r="B918" s="16"/>
      <c r="C918" s="16"/>
      <c r="D918" s="16"/>
      <c r="E918" s="16"/>
      <c r="F918" s="16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  <c r="BK918" s="17"/>
      <c r="BL918" s="17"/>
      <c r="BM918" s="17"/>
      <c r="BN918" s="17"/>
      <c r="BO918" s="17"/>
      <c r="BP918" s="17"/>
      <c r="BQ918" s="17"/>
      <c r="BR918" s="17"/>
      <c r="BS918" s="17"/>
      <c r="BT918" s="17"/>
      <c r="BU918" s="17"/>
      <c r="BV918" s="17"/>
      <c r="BW918" s="17"/>
      <c r="BX918" s="17"/>
      <c r="BY918" s="17"/>
      <c r="BZ918" s="17"/>
      <c r="CA918" s="17"/>
      <c r="CB918" s="17"/>
      <c r="CC918" s="17"/>
      <c r="CD918" s="17"/>
      <c r="CE918" s="17"/>
      <c r="CF918" s="17"/>
      <c r="CG918" s="17"/>
      <c r="CH918" s="17"/>
      <c r="CI918" s="17"/>
      <c r="CJ918" s="17"/>
      <c r="CK918" s="17"/>
      <c r="CL918" s="17"/>
      <c r="CM918" s="17"/>
      <c r="CN918" s="17"/>
      <c r="CO918" s="17"/>
      <c r="CP918" s="17"/>
      <c r="CQ918" s="17"/>
      <c r="CR918" s="17"/>
      <c r="CS918" s="17"/>
      <c r="CT918" s="17"/>
      <c r="CU918" s="17"/>
      <c r="CV918" s="17"/>
      <c r="CW918" s="17"/>
      <c r="CX918" s="17"/>
      <c r="CY918" s="17"/>
      <c r="CZ918" s="17"/>
      <c r="DA918" s="17"/>
      <c r="DB918" s="17"/>
      <c r="DC918" s="17"/>
      <c r="DD918" s="17"/>
      <c r="DE918" s="17"/>
      <c r="DF918" s="17"/>
      <c r="DG918" s="17"/>
      <c r="DH918" s="17"/>
      <c r="DI918" s="17"/>
      <c r="DJ918" s="17"/>
      <c r="DK918" s="17"/>
      <c r="DL918" s="17"/>
      <c r="DM918" s="17"/>
      <c r="DN918" s="17"/>
      <c r="DO918" s="17"/>
      <c r="DP918" s="17"/>
      <c r="DQ918" s="17"/>
      <c r="DR918" s="17"/>
      <c r="DS918" s="17"/>
      <c r="DT918" s="17"/>
      <c r="DU918" s="17"/>
      <c r="DV918" s="17"/>
      <c r="DW918" s="17"/>
    </row>
    <row r="919" spans="1:127" ht="18" customHeight="1">
      <c r="A919" s="16"/>
      <c r="B919" s="16"/>
      <c r="C919" s="16"/>
      <c r="D919" s="16"/>
      <c r="E919" s="16"/>
      <c r="F919" s="16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  <c r="BK919" s="17"/>
      <c r="BL919" s="17"/>
      <c r="BM919" s="17"/>
      <c r="BN919" s="17"/>
      <c r="BO919" s="17"/>
      <c r="BP919" s="17"/>
      <c r="BQ919" s="17"/>
      <c r="BR919" s="17"/>
      <c r="BS919" s="17"/>
      <c r="BT919" s="17"/>
      <c r="BU919" s="17"/>
      <c r="BV919" s="17"/>
      <c r="BW919" s="17"/>
      <c r="BX919" s="17"/>
      <c r="BY919" s="17"/>
      <c r="BZ919" s="17"/>
      <c r="CA919" s="17"/>
      <c r="CB919" s="17"/>
      <c r="CC919" s="17"/>
      <c r="CD919" s="17"/>
      <c r="CE919" s="17"/>
      <c r="CF919" s="17"/>
      <c r="CG919" s="17"/>
      <c r="CH919" s="17"/>
      <c r="CI919" s="17"/>
      <c r="CJ919" s="17"/>
      <c r="CK919" s="17"/>
      <c r="CL919" s="17"/>
      <c r="CM919" s="17"/>
      <c r="CN919" s="17"/>
      <c r="CO919" s="17"/>
      <c r="CP919" s="17"/>
      <c r="CQ919" s="17"/>
      <c r="CR919" s="17"/>
      <c r="CS919" s="17"/>
      <c r="CT919" s="17"/>
      <c r="CU919" s="17"/>
      <c r="CV919" s="17"/>
      <c r="CW919" s="17"/>
      <c r="CX919" s="17"/>
      <c r="CY919" s="17"/>
      <c r="CZ919" s="17"/>
      <c r="DA919" s="17"/>
      <c r="DB919" s="17"/>
      <c r="DC919" s="17"/>
      <c r="DD919" s="17"/>
      <c r="DE919" s="17"/>
      <c r="DF919" s="17"/>
      <c r="DG919" s="17"/>
      <c r="DH919" s="17"/>
      <c r="DI919" s="17"/>
      <c r="DJ919" s="17"/>
      <c r="DK919" s="17"/>
      <c r="DL919" s="17"/>
      <c r="DM919" s="17"/>
      <c r="DN919" s="17"/>
      <c r="DO919" s="17"/>
      <c r="DP919" s="17"/>
      <c r="DQ919" s="17"/>
      <c r="DR919" s="17"/>
      <c r="DS919" s="17"/>
      <c r="DT919" s="17"/>
      <c r="DU919" s="17"/>
      <c r="DV919" s="17"/>
      <c r="DW919" s="17"/>
    </row>
    <row r="920" spans="1:127" ht="18" customHeight="1">
      <c r="A920" s="16"/>
      <c r="B920" s="16"/>
      <c r="C920" s="16"/>
      <c r="D920" s="16"/>
      <c r="E920" s="16"/>
      <c r="F920" s="16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  <c r="CR920" s="17"/>
      <c r="CS920" s="17"/>
      <c r="CT920" s="17"/>
      <c r="CU920" s="17"/>
      <c r="CV920" s="17"/>
      <c r="CW920" s="17"/>
      <c r="CX920" s="17"/>
      <c r="CY920" s="17"/>
      <c r="CZ920" s="17"/>
      <c r="DA920" s="17"/>
      <c r="DB920" s="17"/>
      <c r="DC920" s="17"/>
      <c r="DD920" s="17"/>
      <c r="DE920" s="17"/>
      <c r="DF920" s="17"/>
      <c r="DG920" s="17"/>
      <c r="DH920" s="17"/>
      <c r="DI920" s="17"/>
      <c r="DJ920" s="17"/>
      <c r="DK920" s="17"/>
      <c r="DL920" s="17"/>
      <c r="DM920" s="17"/>
      <c r="DN920" s="17"/>
      <c r="DO920" s="17"/>
      <c r="DP920" s="17"/>
      <c r="DQ920" s="17"/>
      <c r="DR920" s="17"/>
      <c r="DS920" s="17"/>
      <c r="DT920" s="17"/>
      <c r="DU920" s="17"/>
      <c r="DV920" s="17"/>
      <c r="DW920" s="17"/>
    </row>
    <row r="921" spans="1:127" ht="18" customHeight="1">
      <c r="A921" s="16"/>
      <c r="B921" s="16"/>
      <c r="C921" s="16"/>
      <c r="D921" s="16"/>
      <c r="E921" s="16"/>
      <c r="F921" s="16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  <c r="CR921" s="17"/>
      <c r="CS921" s="17"/>
      <c r="CT921" s="17"/>
      <c r="CU921" s="17"/>
      <c r="CV921" s="17"/>
      <c r="CW921" s="17"/>
      <c r="CX921" s="17"/>
      <c r="CY921" s="17"/>
      <c r="CZ921" s="17"/>
      <c r="DA921" s="17"/>
      <c r="DB921" s="17"/>
      <c r="DC921" s="17"/>
      <c r="DD921" s="17"/>
      <c r="DE921" s="17"/>
      <c r="DF921" s="17"/>
      <c r="DG921" s="17"/>
      <c r="DH921" s="17"/>
      <c r="DI921" s="17"/>
      <c r="DJ921" s="17"/>
      <c r="DK921" s="17"/>
      <c r="DL921" s="17"/>
      <c r="DM921" s="17"/>
      <c r="DN921" s="17"/>
      <c r="DO921" s="17"/>
      <c r="DP921" s="17"/>
      <c r="DQ921" s="17"/>
      <c r="DR921" s="17"/>
      <c r="DS921" s="17"/>
      <c r="DT921" s="17"/>
      <c r="DU921" s="17"/>
      <c r="DV921" s="17"/>
      <c r="DW921" s="17"/>
    </row>
    <row r="922" spans="1:127" ht="18" customHeight="1">
      <c r="A922" s="16"/>
      <c r="B922" s="16"/>
      <c r="C922" s="16"/>
      <c r="D922" s="16"/>
      <c r="E922" s="16"/>
      <c r="F922" s="16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  <c r="CR922" s="17"/>
      <c r="CS922" s="17"/>
      <c r="CT922" s="17"/>
      <c r="CU922" s="17"/>
      <c r="CV922" s="17"/>
      <c r="CW922" s="17"/>
      <c r="CX922" s="17"/>
      <c r="CY922" s="17"/>
      <c r="CZ922" s="17"/>
      <c r="DA922" s="17"/>
      <c r="DB922" s="17"/>
      <c r="DC922" s="17"/>
      <c r="DD922" s="17"/>
      <c r="DE922" s="17"/>
      <c r="DF922" s="17"/>
      <c r="DG922" s="17"/>
      <c r="DH922" s="17"/>
      <c r="DI922" s="17"/>
      <c r="DJ922" s="17"/>
      <c r="DK922" s="17"/>
      <c r="DL922" s="17"/>
      <c r="DM922" s="17"/>
      <c r="DN922" s="17"/>
      <c r="DO922" s="17"/>
      <c r="DP922" s="17"/>
      <c r="DQ922" s="17"/>
      <c r="DR922" s="17"/>
      <c r="DS922" s="17"/>
      <c r="DT922" s="17"/>
      <c r="DU922" s="17"/>
      <c r="DV922" s="17"/>
      <c r="DW922" s="17"/>
    </row>
    <row r="923" spans="1:127" ht="18" customHeight="1">
      <c r="A923" s="16"/>
      <c r="B923" s="16"/>
      <c r="C923" s="16"/>
      <c r="D923" s="16"/>
      <c r="E923" s="16"/>
      <c r="F923" s="16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  <c r="CR923" s="17"/>
      <c r="CS923" s="17"/>
      <c r="CT923" s="17"/>
      <c r="CU923" s="17"/>
      <c r="CV923" s="17"/>
      <c r="CW923" s="17"/>
      <c r="CX923" s="17"/>
      <c r="CY923" s="17"/>
      <c r="CZ923" s="17"/>
      <c r="DA923" s="17"/>
      <c r="DB923" s="17"/>
      <c r="DC923" s="17"/>
      <c r="DD923" s="17"/>
      <c r="DE923" s="17"/>
      <c r="DF923" s="17"/>
      <c r="DG923" s="17"/>
      <c r="DH923" s="17"/>
      <c r="DI923" s="17"/>
      <c r="DJ923" s="17"/>
      <c r="DK923" s="17"/>
      <c r="DL923" s="17"/>
      <c r="DM923" s="17"/>
      <c r="DN923" s="17"/>
      <c r="DO923" s="17"/>
      <c r="DP923" s="17"/>
      <c r="DQ923" s="17"/>
      <c r="DR923" s="17"/>
      <c r="DS923" s="17"/>
      <c r="DT923" s="17"/>
      <c r="DU923" s="17"/>
      <c r="DV923" s="17"/>
      <c r="DW923" s="17"/>
    </row>
    <row r="924" spans="1:127" ht="18" customHeight="1">
      <c r="A924" s="16"/>
      <c r="B924" s="16"/>
      <c r="C924" s="16"/>
      <c r="D924" s="16"/>
      <c r="E924" s="16"/>
      <c r="F924" s="16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  <c r="BK924" s="17"/>
      <c r="BL924" s="17"/>
      <c r="BM924" s="17"/>
      <c r="BN924" s="17"/>
      <c r="BO924" s="17"/>
      <c r="BP924" s="17"/>
      <c r="BQ924" s="17"/>
      <c r="BR924" s="17"/>
      <c r="BS924" s="17"/>
      <c r="BT924" s="17"/>
      <c r="BU924" s="17"/>
      <c r="BV924" s="17"/>
      <c r="BW924" s="17"/>
      <c r="BX924" s="17"/>
      <c r="BY924" s="17"/>
      <c r="BZ924" s="17"/>
      <c r="CA924" s="17"/>
      <c r="CB924" s="17"/>
      <c r="CC924" s="17"/>
      <c r="CD924" s="17"/>
      <c r="CE924" s="17"/>
      <c r="CF924" s="17"/>
      <c r="CG924" s="17"/>
      <c r="CH924" s="17"/>
      <c r="CI924" s="17"/>
      <c r="CJ924" s="17"/>
      <c r="CK924" s="17"/>
      <c r="CL924" s="17"/>
      <c r="CM924" s="17"/>
      <c r="CN924" s="17"/>
      <c r="CO924" s="17"/>
      <c r="CP924" s="17"/>
      <c r="CQ924" s="17"/>
      <c r="CR924" s="17"/>
      <c r="CS924" s="17"/>
      <c r="CT924" s="17"/>
      <c r="CU924" s="17"/>
      <c r="CV924" s="17"/>
      <c r="CW924" s="17"/>
      <c r="CX924" s="17"/>
      <c r="CY924" s="17"/>
      <c r="CZ924" s="17"/>
      <c r="DA924" s="17"/>
      <c r="DB924" s="17"/>
      <c r="DC924" s="17"/>
      <c r="DD924" s="17"/>
      <c r="DE924" s="17"/>
      <c r="DF924" s="17"/>
      <c r="DG924" s="17"/>
      <c r="DH924" s="17"/>
      <c r="DI924" s="17"/>
      <c r="DJ924" s="17"/>
      <c r="DK924" s="17"/>
      <c r="DL924" s="17"/>
      <c r="DM924" s="17"/>
      <c r="DN924" s="17"/>
      <c r="DO924" s="17"/>
      <c r="DP924" s="17"/>
      <c r="DQ924" s="17"/>
      <c r="DR924" s="17"/>
      <c r="DS924" s="17"/>
      <c r="DT924" s="17"/>
      <c r="DU924" s="17"/>
      <c r="DV924" s="17"/>
      <c r="DW924" s="17"/>
    </row>
    <row r="925" spans="1:127" ht="18" customHeight="1">
      <c r="A925" s="16"/>
      <c r="B925" s="16"/>
      <c r="C925" s="16"/>
      <c r="D925" s="16"/>
      <c r="E925" s="16"/>
      <c r="F925" s="16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  <c r="BK925" s="17"/>
      <c r="BL925" s="17"/>
      <c r="BM925" s="17"/>
      <c r="BN925" s="17"/>
      <c r="BO925" s="17"/>
      <c r="BP925" s="17"/>
      <c r="BQ925" s="17"/>
      <c r="BR925" s="17"/>
      <c r="BS925" s="17"/>
      <c r="BT925" s="17"/>
      <c r="BU925" s="17"/>
      <c r="BV925" s="17"/>
      <c r="BW925" s="17"/>
      <c r="BX925" s="17"/>
      <c r="BY925" s="17"/>
      <c r="BZ925" s="17"/>
      <c r="CA925" s="17"/>
      <c r="CB925" s="17"/>
      <c r="CC925" s="17"/>
      <c r="CD925" s="17"/>
      <c r="CE925" s="17"/>
      <c r="CF925" s="17"/>
      <c r="CG925" s="17"/>
      <c r="CH925" s="17"/>
      <c r="CI925" s="17"/>
      <c r="CJ925" s="17"/>
      <c r="CK925" s="17"/>
      <c r="CL925" s="17"/>
      <c r="CM925" s="17"/>
      <c r="CN925" s="17"/>
      <c r="CO925" s="17"/>
      <c r="CP925" s="17"/>
      <c r="CQ925" s="17"/>
      <c r="CR925" s="17"/>
      <c r="CS925" s="17"/>
      <c r="CT925" s="17"/>
      <c r="CU925" s="17"/>
      <c r="CV925" s="17"/>
      <c r="CW925" s="17"/>
      <c r="CX925" s="17"/>
      <c r="CY925" s="17"/>
      <c r="CZ925" s="17"/>
      <c r="DA925" s="17"/>
      <c r="DB925" s="17"/>
      <c r="DC925" s="17"/>
      <c r="DD925" s="17"/>
      <c r="DE925" s="17"/>
      <c r="DF925" s="17"/>
      <c r="DG925" s="17"/>
      <c r="DH925" s="17"/>
      <c r="DI925" s="17"/>
      <c r="DJ925" s="17"/>
      <c r="DK925" s="17"/>
      <c r="DL925" s="17"/>
      <c r="DM925" s="17"/>
      <c r="DN925" s="17"/>
      <c r="DO925" s="17"/>
      <c r="DP925" s="17"/>
      <c r="DQ925" s="17"/>
      <c r="DR925" s="17"/>
      <c r="DS925" s="17"/>
      <c r="DT925" s="17"/>
      <c r="DU925" s="17"/>
      <c r="DV925" s="17"/>
      <c r="DW925" s="17"/>
    </row>
    <row r="926" spans="1:127" ht="18" customHeight="1">
      <c r="A926" s="16"/>
      <c r="B926" s="16"/>
      <c r="C926" s="16"/>
      <c r="D926" s="16"/>
      <c r="E926" s="16"/>
      <c r="F926" s="16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  <c r="BK926" s="17"/>
      <c r="BL926" s="17"/>
      <c r="BM926" s="17"/>
      <c r="BN926" s="17"/>
      <c r="BO926" s="17"/>
      <c r="BP926" s="17"/>
      <c r="BQ926" s="17"/>
      <c r="BR926" s="17"/>
      <c r="BS926" s="17"/>
      <c r="BT926" s="17"/>
      <c r="BU926" s="17"/>
      <c r="BV926" s="17"/>
      <c r="BW926" s="17"/>
      <c r="BX926" s="17"/>
      <c r="BY926" s="17"/>
      <c r="BZ926" s="17"/>
      <c r="CA926" s="17"/>
      <c r="CB926" s="17"/>
      <c r="CC926" s="17"/>
      <c r="CD926" s="17"/>
      <c r="CE926" s="17"/>
      <c r="CF926" s="17"/>
      <c r="CG926" s="17"/>
      <c r="CH926" s="17"/>
      <c r="CI926" s="17"/>
      <c r="CJ926" s="17"/>
      <c r="CK926" s="17"/>
      <c r="CL926" s="17"/>
      <c r="CM926" s="17"/>
      <c r="CN926" s="17"/>
      <c r="CO926" s="17"/>
      <c r="CP926" s="17"/>
      <c r="CQ926" s="17"/>
      <c r="CR926" s="17"/>
      <c r="CS926" s="17"/>
      <c r="CT926" s="17"/>
      <c r="CU926" s="17"/>
      <c r="CV926" s="17"/>
      <c r="CW926" s="17"/>
      <c r="CX926" s="17"/>
      <c r="CY926" s="17"/>
      <c r="CZ926" s="17"/>
      <c r="DA926" s="17"/>
      <c r="DB926" s="17"/>
      <c r="DC926" s="17"/>
      <c r="DD926" s="17"/>
      <c r="DE926" s="17"/>
      <c r="DF926" s="17"/>
      <c r="DG926" s="17"/>
      <c r="DH926" s="17"/>
      <c r="DI926" s="17"/>
      <c r="DJ926" s="17"/>
      <c r="DK926" s="17"/>
      <c r="DL926" s="17"/>
      <c r="DM926" s="17"/>
      <c r="DN926" s="17"/>
      <c r="DO926" s="17"/>
      <c r="DP926" s="17"/>
      <c r="DQ926" s="17"/>
      <c r="DR926" s="17"/>
      <c r="DS926" s="17"/>
      <c r="DT926" s="17"/>
      <c r="DU926" s="17"/>
      <c r="DV926" s="17"/>
      <c r="DW926" s="17"/>
    </row>
    <row r="927" spans="1:127" ht="18" customHeight="1">
      <c r="A927" s="16"/>
      <c r="B927" s="16"/>
      <c r="C927" s="16"/>
      <c r="D927" s="16"/>
      <c r="E927" s="16"/>
      <c r="F927" s="16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  <c r="CR927" s="17"/>
      <c r="CS927" s="17"/>
      <c r="CT927" s="17"/>
      <c r="CU927" s="17"/>
      <c r="CV927" s="17"/>
      <c r="CW927" s="17"/>
      <c r="CX927" s="17"/>
      <c r="CY927" s="17"/>
      <c r="CZ927" s="17"/>
      <c r="DA927" s="17"/>
      <c r="DB927" s="17"/>
      <c r="DC927" s="17"/>
      <c r="DD927" s="17"/>
      <c r="DE927" s="17"/>
      <c r="DF927" s="17"/>
      <c r="DG927" s="17"/>
      <c r="DH927" s="17"/>
      <c r="DI927" s="17"/>
      <c r="DJ927" s="17"/>
      <c r="DK927" s="17"/>
      <c r="DL927" s="17"/>
      <c r="DM927" s="17"/>
      <c r="DN927" s="17"/>
      <c r="DO927" s="17"/>
      <c r="DP927" s="17"/>
      <c r="DQ927" s="17"/>
      <c r="DR927" s="17"/>
      <c r="DS927" s="17"/>
      <c r="DT927" s="17"/>
      <c r="DU927" s="17"/>
      <c r="DV927" s="17"/>
      <c r="DW927" s="17"/>
    </row>
    <row r="928" spans="1:127" ht="18" customHeight="1">
      <c r="A928" s="16"/>
      <c r="B928" s="16"/>
      <c r="C928" s="16"/>
      <c r="D928" s="16"/>
      <c r="E928" s="16"/>
      <c r="F928" s="16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  <c r="BK928" s="17"/>
      <c r="BL928" s="17"/>
      <c r="BM928" s="17"/>
      <c r="BN928" s="17"/>
      <c r="BO928" s="17"/>
      <c r="BP928" s="17"/>
      <c r="BQ928" s="17"/>
      <c r="BR928" s="17"/>
      <c r="BS928" s="17"/>
      <c r="BT928" s="17"/>
      <c r="BU928" s="17"/>
      <c r="BV928" s="17"/>
      <c r="BW928" s="17"/>
      <c r="BX928" s="17"/>
      <c r="BY928" s="17"/>
      <c r="BZ928" s="17"/>
      <c r="CA928" s="17"/>
      <c r="CB928" s="17"/>
      <c r="CC928" s="17"/>
      <c r="CD928" s="17"/>
      <c r="CE928" s="17"/>
      <c r="CF928" s="17"/>
      <c r="CG928" s="17"/>
      <c r="CH928" s="17"/>
      <c r="CI928" s="17"/>
      <c r="CJ928" s="17"/>
      <c r="CK928" s="17"/>
      <c r="CL928" s="17"/>
      <c r="CM928" s="17"/>
      <c r="CN928" s="17"/>
      <c r="CO928" s="17"/>
      <c r="CP928" s="17"/>
      <c r="CQ928" s="17"/>
      <c r="CR928" s="17"/>
      <c r="CS928" s="17"/>
      <c r="CT928" s="17"/>
      <c r="CU928" s="17"/>
      <c r="CV928" s="17"/>
      <c r="CW928" s="17"/>
      <c r="CX928" s="17"/>
      <c r="CY928" s="17"/>
      <c r="CZ928" s="17"/>
      <c r="DA928" s="17"/>
      <c r="DB928" s="17"/>
      <c r="DC928" s="17"/>
      <c r="DD928" s="17"/>
      <c r="DE928" s="17"/>
      <c r="DF928" s="17"/>
      <c r="DG928" s="17"/>
      <c r="DH928" s="17"/>
      <c r="DI928" s="17"/>
      <c r="DJ928" s="17"/>
      <c r="DK928" s="17"/>
      <c r="DL928" s="17"/>
      <c r="DM928" s="17"/>
      <c r="DN928" s="17"/>
      <c r="DO928" s="17"/>
      <c r="DP928" s="17"/>
      <c r="DQ928" s="17"/>
      <c r="DR928" s="17"/>
      <c r="DS928" s="17"/>
      <c r="DT928" s="17"/>
      <c r="DU928" s="17"/>
      <c r="DV928" s="17"/>
      <c r="DW928" s="17"/>
    </row>
    <row r="929" spans="1:127" ht="18" customHeight="1">
      <c r="A929" s="16"/>
      <c r="B929" s="16"/>
      <c r="C929" s="16"/>
      <c r="D929" s="16"/>
      <c r="E929" s="16"/>
      <c r="F929" s="16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  <c r="BK929" s="17"/>
      <c r="BL929" s="17"/>
      <c r="BM929" s="17"/>
      <c r="BN929" s="17"/>
      <c r="BO929" s="17"/>
      <c r="BP929" s="17"/>
      <c r="BQ929" s="17"/>
      <c r="BR929" s="17"/>
      <c r="BS929" s="17"/>
      <c r="BT929" s="17"/>
      <c r="BU929" s="17"/>
      <c r="BV929" s="17"/>
      <c r="BW929" s="17"/>
      <c r="BX929" s="17"/>
      <c r="BY929" s="17"/>
      <c r="BZ929" s="17"/>
      <c r="CA929" s="17"/>
      <c r="CB929" s="17"/>
      <c r="CC929" s="17"/>
      <c r="CD929" s="17"/>
      <c r="CE929" s="17"/>
      <c r="CF929" s="17"/>
      <c r="CG929" s="17"/>
      <c r="CH929" s="17"/>
      <c r="CI929" s="17"/>
      <c r="CJ929" s="17"/>
      <c r="CK929" s="17"/>
      <c r="CL929" s="17"/>
      <c r="CM929" s="17"/>
      <c r="CN929" s="17"/>
      <c r="CO929" s="17"/>
      <c r="CP929" s="17"/>
      <c r="CQ929" s="17"/>
      <c r="CR929" s="17"/>
      <c r="CS929" s="17"/>
      <c r="CT929" s="17"/>
      <c r="CU929" s="17"/>
      <c r="CV929" s="17"/>
      <c r="CW929" s="17"/>
      <c r="CX929" s="17"/>
      <c r="CY929" s="17"/>
      <c r="CZ929" s="17"/>
      <c r="DA929" s="17"/>
      <c r="DB929" s="17"/>
      <c r="DC929" s="17"/>
      <c r="DD929" s="17"/>
      <c r="DE929" s="17"/>
      <c r="DF929" s="17"/>
      <c r="DG929" s="17"/>
      <c r="DH929" s="17"/>
      <c r="DI929" s="17"/>
      <c r="DJ929" s="17"/>
      <c r="DK929" s="17"/>
      <c r="DL929" s="17"/>
      <c r="DM929" s="17"/>
      <c r="DN929" s="17"/>
      <c r="DO929" s="17"/>
      <c r="DP929" s="17"/>
      <c r="DQ929" s="17"/>
      <c r="DR929" s="17"/>
      <c r="DS929" s="17"/>
      <c r="DT929" s="17"/>
      <c r="DU929" s="17"/>
      <c r="DV929" s="17"/>
      <c r="DW929" s="17"/>
    </row>
    <row r="930" spans="1:127" ht="18" customHeight="1">
      <c r="A930" s="16"/>
      <c r="B930" s="16"/>
      <c r="C930" s="16"/>
      <c r="D930" s="16"/>
      <c r="E930" s="16"/>
      <c r="F930" s="16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  <c r="BK930" s="17"/>
      <c r="BL930" s="17"/>
      <c r="BM930" s="17"/>
      <c r="BN930" s="17"/>
      <c r="BO930" s="17"/>
      <c r="BP930" s="17"/>
      <c r="BQ930" s="17"/>
      <c r="BR930" s="17"/>
      <c r="BS930" s="17"/>
      <c r="BT930" s="17"/>
      <c r="BU930" s="17"/>
      <c r="BV930" s="17"/>
      <c r="BW930" s="17"/>
      <c r="BX930" s="17"/>
      <c r="BY930" s="17"/>
      <c r="BZ930" s="17"/>
      <c r="CA930" s="17"/>
      <c r="CB930" s="17"/>
      <c r="CC930" s="17"/>
      <c r="CD930" s="17"/>
      <c r="CE930" s="17"/>
      <c r="CF930" s="17"/>
      <c r="CG930" s="17"/>
      <c r="CH930" s="17"/>
      <c r="CI930" s="17"/>
      <c r="CJ930" s="17"/>
      <c r="CK930" s="17"/>
      <c r="CL930" s="17"/>
      <c r="CM930" s="17"/>
      <c r="CN930" s="17"/>
      <c r="CO930" s="17"/>
      <c r="CP930" s="17"/>
      <c r="CQ930" s="17"/>
      <c r="CR930" s="17"/>
      <c r="CS930" s="17"/>
      <c r="CT930" s="17"/>
      <c r="CU930" s="17"/>
      <c r="CV930" s="17"/>
      <c r="CW930" s="17"/>
      <c r="CX930" s="17"/>
      <c r="CY930" s="17"/>
      <c r="CZ930" s="17"/>
      <c r="DA930" s="17"/>
      <c r="DB930" s="17"/>
      <c r="DC930" s="17"/>
      <c r="DD930" s="17"/>
      <c r="DE930" s="17"/>
      <c r="DF930" s="17"/>
      <c r="DG930" s="17"/>
      <c r="DH930" s="17"/>
      <c r="DI930" s="17"/>
      <c r="DJ930" s="17"/>
      <c r="DK930" s="17"/>
      <c r="DL930" s="17"/>
      <c r="DM930" s="17"/>
      <c r="DN930" s="17"/>
      <c r="DO930" s="17"/>
      <c r="DP930" s="17"/>
      <c r="DQ930" s="17"/>
      <c r="DR930" s="17"/>
      <c r="DS930" s="17"/>
      <c r="DT930" s="17"/>
      <c r="DU930" s="17"/>
      <c r="DV930" s="17"/>
      <c r="DW930" s="17"/>
    </row>
    <row r="931" spans="1:127" ht="18" customHeight="1">
      <c r="A931" s="16"/>
      <c r="B931" s="16"/>
      <c r="C931" s="16"/>
      <c r="D931" s="16"/>
      <c r="E931" s="16"/>
      <c r="F931" s="16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  <c r="CL931" s="17"/>
      <c r="CM931" s="17"/>
      <c r="CN931" s="17"/>
      <c r="CO931" s="17"/>
      <c r="CP931" s="17"/>
      <c r="CQ931" s="17"/>
      <c r="CR931" s="17"/>
      <c r="CS931" s="17"/>
      <c r="CT931" s="17"/>
      <c r="CU931" s="17"/>
      <c r="CV931" s="17"/>
      <c r="CW931" s="17"/>
      <c r="CX931" s="17"/>
      <c r="CY931" s="17"/>
      <c r="CZ931" s="17"/>
      <c r="DA931" s="17"/>
      <c r="DB931" s="17"/>
      <c r="DC931" s="17"/>
      <c r="DD931" s="17"/>
      <c r="DE931" s="17"/>
      <c r="DF931" s="17"/>
      <c r="DG931" s="17"/>
      <c r="DH931" s="17"/>
      <c r="DI931" s="17"/>
      <c r="DJ931" s="17"/>
      <c r="DK931" s="17"/>
      <c r="DL931" s="17"/>
      <c r="DM931" s="17"/>
      <c r="DN931" s="17"/>
      <c r="DO931" s="17"/>
      <c r="DP931" s="17"/>
      <c r="DQ931" s="17"/>
      <c r="DR931" s="17"/>
      <c r="DS931" s="17"/>
      <c r="DT931" s="17"/>
      <c r="DU931" s="17"/>
      <c r="DV931" s="17"/>
      <c r="DW931" s="17"/>
    </row>
    <row r="932" spans="1:127" ht="18" customHeight="1">
      <c r="A932" s="16"/>
      <c r="B932" s="16"/>
      <c r="C932" s="16"/>
      <c r="D932" s="16"/>
      <c r="E932" s="16"/>
      <c r="F932" s="16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  <c r="BK932" s="17"/>
      <c r="BL932" s="17"/>
      <c r="BM932" s="17"/>
      <c r="BN932" s="17"/>
      <c r="BO932" s="17"/>
      <c r="BP932" s="17"/>
      <c r="BQ932" s="17"/>
      <c r="BR932" s="17"/>
      <c r="BS932" s="17"/>
      <c r="BT932" s="17"/>
      <c r="BU932" s="17"/>
      <c r="BV932" s="17"/>
      <c r="BW932" s="17"/>
      <c r="BX932" s="17"/>
      <c r="BY932" s="17"/>
      <c r="BZ932" s="17"/>
      <c r="CA932" s="17"/>
      <c r="CB932" s="17"/>
      <c r="CC932" s="17"/>
      <c r="CD932" s="17"/>
      <c r="CE932" s="17"/>
      <c r="CF932" s="17"/>
      <c r="CG932" s="17"/>
      <c r="CH932" s="17"/>
      <c r="CI932" s="17"/>
      <c r="CJ932" s="17"/>
      <c r="CK932" s="17"/>
      <c r="CL932" s="17"/>
      <c r="CM932" s="17"/>
      <c r="CN932" s="17"/>
      <c r="CO932" s="17"/>
      <c r="CP932" s="17"/>
      <c r="CQ932" s="17"/>
      <c r="CR932" s="17"/>
      <c r="CS932" s="17"/>
      <c r="CT932" s="17"/>
      <c r="CU932" s="17"/>
      <c r="CV932" s="17"/>
      <c r="CW932" s="17"/>
      <c r="CX932" s="17"/>
      <c r="CY932" s="17"/>
      <c r="CZ932" s="17"/>
      <c r="DA932" s="17"/>
      <c r="DB932" s="17"/>
      <c r="DC932" s="17"/>
      <c r="DD932" s="17"/>
      <c r="DE932" s="17"/>
      <c r="DF932" s="17"/>
      <c r="DG932" s="17"/>
      <c r="DH932" s="17"/>
      <c r="DI932" s="17"/>
      <c r="DJ932" s="17"/>
      <c r="DK932" s="17"/>
      <c r="DL932" s="17"/>
      <c r="DM932" s="17"/>
      <c r="DN932" s="17"/>
      <c r="DO932" s="17"/>
      <c r="DP932" s="17"/>
      <c r="DQ932" s="17"/>
      <c r="DR932" s="17"/>
      <c r="DS932" s="17"/>
      <c r="DT932" s="17"/>
      <c r="DU932" s="17"/>
      <c r="DV932" s="17"/>
      <c r="DW932" s="17"/>
    </row>
    <row r="933" spans="1:127" ht="18" customHeight="1">
      <c r="A933" s="16"/>
      <c r="B933" s="16"/>
      <c r="C933" s="16"/>
      <c r="D933" s="16"/>
      <c r="E933" s="16"/>
      <c r="F933" s="16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  <c r="BK933" s="17"/>
      <c r="BL933" s="17"/>
      <c r="BM933" s="17"/>
      <c r="BN933" s="17"/>
      <c r="BO933" s="17"/>
      <c r="BP933" s="17"/>
      <c r="BQ933" s="17"/>
      <c r="BR933" s="17"/>
      <c r="BS933" s="17"/>
      <c r="BT933" s="17"/>
      <c r="BU933" s="17"/>
      <c r="BV933" s="17"/>
      <c r="BW933" s="17"/>
      <c r="BX933" s="17"/>
      <c r="BY933" s="17"/>
      <c r="BZ933" s="17"/>
      <c r="CA933" s="17"/>
      <c r="CB933" s="17"/>
      <c r="CC933" s="17"/>
      <c r="CD933" s="17"/>
      <c r="CE933" s="17"/>
      <c r="CF933" s="17"/>
      <c r="CG933" s="17"/>
      <c r="CH933" s="17"/>
      <c r="CI933" s="17"/>
      <c r="CJ933" s="17"/>
      <c r="CK933" s="17"/>
      <c r="CL933" s="17"/>
      <c r="CM933" s="17"/>
      <c r="CN933" s="17"/>
      <c r="CO933" s="17"/>
      <c r="CP933" s="17"/>
      <c r="CQ933" s="17"/>
      <c r="CR933" s="17"/>
      <c r="CS933" s="17"/>
      <c r="CT933" s="17"/>
      <c r="CU933" s="17"/>
      <c r="CV933" s="17"/>
      <c r="CW933" s="17"/>
      <c r="CX933" s="17"/>
      <c r="CY933" s="17"/>
      <c r="CZ933" s="17"/>
      <c r="DA933" s="17"/>
      <c r="DB933" s="17"/>
      <c r="DC933" s="17"/>
      <c r="DD933" s="17"/>
      <c r="DE933" s="17"/>
      <c r="DF933" s="17"/>
      <c r="DG933" s="17"/>
      <c r="DH933" s="17"/>
      <c r="DI933" s="17"/>
      <c r="DJ933" s="17"/>
      <c r="DK933" s="17"/>
      <c r="DL933" s="17"/>
      <c r="DM933" s="17"/>
      <c r="DN933" s="17"/>
      <c r="DO933" s="17"/>
      <c r="DP933" s="17"/>
      <c r="DQ933" s="17"/>
      <c r="DR933" s="17"/>
      <c r="DS933" s="17"/>
      <c r="DT933" s="17"/>
      <c r="DU933" s="17"/>
      <c r="DV933" s="17"/>
      <c r="DW933" s="17"/>
    </row>
    <row r="934" spans="1:127" ht="18" customHeight="1">
      <c r="A934" s="16"/>
      <c r="B934" s="16"/>
      <c r="C934" s="16"/>
      <c r="D934" s="16"/>
      <c r="E934" s="16"/>
      <c r="F934" s="16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  <c r="CR934" s="17"/>
      <c r="CS934" s="17"/>
      <c r="CT934" s="17"/>
      <c r="CU934" s="17"/>
      <c r="CV934" s="17"/>
      <c r="CW934" s="17"/>
      <c r="CX934" s="17"/>
      <c r="CY934" s="17"/>
      <c r="CZ934" s="17"/>
      <c r="DA934" s="17"/>
      <c r="DB934" s="17"/>
      <c r="DC934" s="17"/>
      <c r="DD934" s="17"/>
      <c r="DE934" s="17"/>
      <c r="DF934" s="17"/>
      <c r="DG934" s="17"/>
      <c r="DH934" s="17"/>
      <c r="DI934" s="17"/>
      <c r="DJ934" s="17"/>
      <c r="DK934" s="17"/>
      <c r="DL934" s="17"/>
      <c r="DM934" s="17"/>
      <c r="DN934" s="17"/>
      <c r="DO934" s="17"/>
      <c r="DP934" s="17"/>
      <c r="DQ934" s="17"/>
      <c r="DR934" s="17"/>
      <c r="DS934" s="17"/>
      <c r="DT934" s="17"/>
      <c r="DU934" s="17"/>
      <c r="DV934" s="17"/>
      <c r="DW934" s="17"/>
    </row>
    <row r="935" spans="1:127" ht="18" customHeight="1">
      <c r="A935" s="16"/>
      <c r="B935" s="16"/>
      <c r="C935" s="16"/>
      <c r="D935" s="16"/>
      <c r="E935" s="16"/>
      <c r="F935" s="16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  <c r="CR935" s="17"/>
      <c r="CS935" s="17"/>
      <c r="CT935" s="17"/>
      <c r="CU935" s="17"/>
      <c r="CV935" s="17"/>
      <c r="CW935" s="17"/>
      <c r="CX935" s="17"/>
      <c r="CY935" s="17"/>
      <c r="CZ935" s="17"/>
      <c r="DA935" s="17"/>
      <c r="DB935" s="17"/>
      <c r="DC935" s="17"/>
      <c r="DD935" s="17"/>
      <c r="DE935" s="17"/>
      <c r="DF935" s="17"/>
      <c r="DG935" s="17"/>
      <c r="DH935" s="17"/>
      <c r="DI935" s="17"/>
      <c r="DJ935" s="17"/>
      <c r="DK935" s="17"/>
      <c r="DL935" s="17"/>
      <c r="DM935" s="17"/>
      <c r="DN935" s="17"/>
      <c r="DO935" s="17"/>
      <c r="DP935" s="17"/>
      <c r="DQ935" s="17"/>
      <c r="DR935" s="17"/>
      <c r="DS935" s="17"/>
      <c r="DT935" s="17"/>
      <c r="DU935" s="17"/>
      <c r="DV935" s="17"/>
      <c r="DW935" s="17"/>
    </row>
    <row r="936" spans="1:127" ht="18" customHeight="1">
      <c r="A936" s="16"/>
      <c r="B936" s="16"/>
      <c r="C936" s="16"/>
      <c r="D936" s="16"/>
      <c r="E936" s="16"/>
      <c r="F936" s="16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  <c r="CL936" s="17"/>
      <c r="CM936" s="17"/>
      <c r="CN936" s="17"/>
      <c r="CO936" s="17"/>
      <c r="CP936" s="17"/>
      <c r="CQ936" s="17"/>
      <c r="CR936" s="17"/>
      <c r="CS936" s="17"/>
      <c r="CT936" s="17"/>
      <c r="CU936" s="17"/>
      <c r="CV936" s="17"/>
      <c r="CW936" s="17"/>
      <c r="CX936" s="17"/>
      <c r="CY936" s="17"/>
      <c r="CZ936" s="17"/>
      <c r="DA936" s="17"/>
      <c r="DB936" s="17"/>
      <c r="DC936" s="17"/>
      <c r="DD936" s="17"/>
      <c r="DE936" s="17"/>
      <c r="DF936" s="17"/>
      <c r="DG936" s="17"/>
      <c r="DH936" s="17"/>
      <c r="DI936" s="17"/>
      <c r="DJ936" s="17"/>
      <c r="DK936" s="17"/>
      <c r="DL936" s="17"/>
      <c r="DM936" s="17"/>
      <c r="DN936" s="17"/>
      <c r="DO936" s="17"/>
      <c r="DP936" s="17"/>
      <c r="DQ936" s="17"/>
      <c r="DR936" s="17"/>
      <c r="DS936" s="17"/>
      <c r="DT936" s="17"/>
      <c r="DU936" s="17"/>
      <c r="DV936" s="17"/>
      <c r="DW936" s="17"/>
    </row>
    <row r="937" spans="1:127" ht="18" customHeight="1">
      <c r="A937" s="16"/>
      <c r="B937" s="16"/>
      <c r="C937" s="16"/>
      <c r="D937" s="16"/>
      <c r="E937" s="16"/>
      <c r="F937" s="16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  <c r="BK937" s="17"/>
      <c r="BL937" s="17"/>
      <c r="BM937" s="17"/>
      <c r="BN937" s="17"/>
      <c r="BO937" s="17"/>
      <c r="BP937" s="17"/>
      <c r="BQ937" s="17"/>
      <c r="BR937" s="17"/>
      <c r="BS937" s="17"/>
      <c r="BT937" s="17"/>
      <c r="BU937" s="17"/>
      <c r="BV937" s="17"/>
      <c r="BW937" s="17"/>
      <c r="BX937" s="17"/>
      <c r="BY937" s="17"/>
      <c r="BZ937" s="17"/>
      <c r="CA937" s="17"/>
      <c r="CB937" s="17"/>
      <c r="CC937" s="17"/>
      <c r="CD937" s="17"/>
      <c r="CE937" s="17"/>
      <c r="CF937" s="17"/>
      <c r="CG937" s="17"/>
      <c r="CH937" s="17"/>
      <c r="CI937" s="17"/>
      <c r="CJ937" s="17"/>
      <c r="CK937" s="17"/>
      <c r="CL937" s="17"/>
      <c r="CM937" s="17"/>
      <c r="CN937" s="17"/>
      <c r="CO937" s="17"/>
      <c r="CP937" s="17"/>
      <c r="CQ937" s="17"/>
      <c r="CR937" s="17"/>
      <c r="CS937" s="17"/>
      <c r="CT937" s="17"/>
      <c r="CU937" s="17"/>
      <c r="CV937" s="17"/>
      <c r="CW937" s="17"/>
      <c r="CX937" s="17"/>
      <c r="CY937" s="17"/>
      <c r="CZ937" s="17"/>
      <c r="DA937" s="17"/>
      <c r="DB937" s="17"/>
      <c r="DC937" s="17"/>
      <c r="DD937" s="17"/>
      <c r="DE937" s="17"/>
      <c r="DF937" s="17"/>
      <c r="DG937" s="17"/>
      <c r="DH937" s="17"/>
      <c r="DI937" s="17"/>
      <c r="DJ937" s="17"/>
      <c r="DK937" s="17"/>
      <c r="DL937" s="17"/>
      <c r="DM937" s="17"/>
      <c r="DN937" s="17"/>
      <c r="DO937" s="17"/>
      <c r="DP937" s="17"/>
      <c r="DQ937" s="17"/>
      <c r="DR937" s="17"/>
      <c r="DS937" s="17"/>
      <c r="DT937" s="17"/>
      <c r="DU937" s="17"/>
      <c r="DV937" s="17"/>
      <c r="DW937" s="17"/>
    </row>
    <row r="938" spans="1:127" ht="18" customHeight="1">
      <c r="A938" s="16"/>
      <c r="B938" s="16"/>
      <c r="C938" s="16"/>
      <c r="D938" s="16"/>
      <c r="E938" s="16"/>
      <c r="F938" s="16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  <c r="BK938" s="17"/>
      <c r="BL938" s="17"/>
      <c r="BM938" s="17"/>
      <c r="BN938" s="17"/>
      <c r="BO938" s="17"/>
      <c r="BP938" s="17"/>
      <c r="BQ938" s="17"/>
      <c r="BR938" s="17"/>
      <c r="BS938" s="17"/>
      <c r="BT938" s="17"/>
      <c r="BU938" s="17"/>
      <c r="BV938" s="17"/>
      <c r="BW938" s="17"/>
      <c r="BX938" s="17"/>
      <c r="BY938" s="17"/>
      <c r="BZ938" s="17"/>
      <c r="CA938" s="17"/>
      <c r="CB938" s="17"/>
      <c r="CC938" s="17"/>
      <c r="CD938" s="17"/>
      <c r="CE938" s="17"/>
      <c r="CF938" s="17"/>
      <c r="CG938" s="17"/>
      <c r="CH938" s="17"/>
      <c r="CI938" s="17"/>
      <c r="CJ938" s="17"/>
      <c r="CK938" s="17"/>
      <c r="CL938" s="17"/>
      <c r="CM938" s="17"/>
      <c r="CN938" s="17"/>
      <c r="CO938" s="17"/>
      <c r="CP938" s="17"/>
      <c r="CQ938" s="17"/>
      <c r="CR938" s="17"/>
      <c r="CS938" s="17"/>
      <c r="CT938" s="17"/>
      <c r="CU938" s="17"/>
      <c r="CV938" s="17"/>
      <c r="CW938" s="17"/>
      <c r="CX938" s="17"/>
      <c r="CY938" s="17"/>
      <c r="CZ938" s="17"/>
      <c r="DA938" s="17"/>
      <c r="DB938" s="17"/>
      <c r="DC938" s="17"/>
      <c r="DD938" s="17"/>
      <c r="DE938" s="17"/>
      <c r="DF938" s="17"/>
      <c r="DG938" s="17"/>
      <c r="DH938" s="17"/>
      <c r="DI938" s="17"/>
      <c r="DJ938" s="17"/>
      <c r="DK938" s="17"/>
      <c r="DL938" s="17"/>
      <c r="DM938" s="17"/>
      <c r="DN938" s="17"/>
      <c r="DO938" s="17"/>
      <c r="DP938" s="17"/>
      <c r="DQ938" s="17"/>
      <c r="DR938" s="17"/>
      <c r="DS938" s="17"/>
      <c r="DT938" s="17"/>
      <c r="DU938" s="17"/>
      <c r="DV938" s="17"/>
      <c r="DW938" s="17"/>
    </row>
    <row r="939" spans="1:127" ht="18" customHeight="1">
      <c r="A939" s="16"/>
      <c r="B939" s="16"/>
      <c r="C939" s="16"/>
      <c r="D939" s="16"/>
      <c r="E939" s="16"/>
      <c r="F939" s="16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  <c r="CR939" s="17"/>
      <c r="CS939" s="17"/>
      <c r="CT939" s="17"/>
      <c r="CU939" s="17"/>
      <c r="CV939" s="17"/>
      <c r="CW939" s="17"/>
      <c r="CX939" s="17"/>
      <c r="CY939" s="17"/>
      <c r="CZ939" s="17"/>
      <c r="DA939" s="17"/>
      <c r="DB939" s="17"/>
      <c r="DC939" s="17"/>
      <c r="DD939" s="17"/>
      <c r="DE939" s="17"/>
      <c r="DF939" s="17"/>
      <c r="DG939" s="17"/>
      <c r="DH939" s="17"/>
      <c r="DI939" s="17"/>
      <c r="DJ939" s="17"/>
      <c r="DK939" s="17"/>
      <c r="DL939" s="17"/>
      <c r="DM939" s="17"/>
      <c r="DN939" s="17"/>
      <c r="DO939" s="17"/>
      <c r="DP939" s="17"/>
      <c r="DQ939" s="17"/>
      <c r="DR939" s="17"/>
      <c r="DS939" s="17"/>
      <c r="DT939" s="17"/>
      <c r="DU939" s="17"/>
      <c r="DV939" s="17"/>
      <c r="DW939" s="17"/>
    </row>
    <row r="940" spans="1:127" ht="18" customHeight="1">
      <c r="A940" s="16"/>
      <c r="B940" s="16"/>
      <c r="C940" s="16"/>
      <c r="D940" s="16"/>
      <c r="E940" s="16"/>
      <c r="F940" s="16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  <c r="CR940" s="17"/>
      <c r="CS940" s="17"/>
      <c r="CT940" s="17"/>
      <c r="CU940" s="17"/>
      <c r="CV940" s="17"/>
      <c r="CW940" s="17"/>
      <c r="CX940" s="17"/>
      <c r="CY940" s="17"/>
      <c r="CZ940" s="17"/>
      <c r="DA940" s="17"/>
      <c r="DB940" s="17"/>
      <c r="DC940" s="17"/>
      <c r="DD940" s="17"/>
      <c r="DE940" s="17"/>
      <c r="DF940" s="17"/>
      <c r="DG940" s="17"/>
      <c r="DH940" s="17"/>
      <c r="DI940" s="17"/>
      <c r="DJ940" s="17"/>
      <c r="DK940" s="17"/>
      <c r="DL940" s="17"/>
      <c r="DM940" s="17"/>
      <c r="DN940" s="17"/>
      <c r="DO940" s="17"/>
      <c r="DP940" s="17"/>
      <c r="DQ940" s="17"/>
      <c r="DR940" s="17"/>
      <c r="DS940" s="17"/>
      <c r="DT940" s="17"/>
      <c r="DU940" s="17"/>
      <c r="DV940" s="17"/>
      <c r="DW940" s="17"/>
    </row>
    <row r="941" spans="1:127" ht="18" customHeight="1">
      <c r="A941" s="16"/>
      <c r="B941" s="16"/>
      <c r="C941" s="16"/>
      <c r="D941" s="16"/>
      <c r="E941" s="16"/>
      <c r="F941" s="16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  <c r="CR941" s="17"/>
      <c r="CS941" s="17"/>
      <c r="CT941" s="17"/>
      <c r="CU941" s="17"/>
      <c r="CV941" s="17"/>
      <c r="CW941" s="17"/>
      <c r="CX941" s="17"/>
      <c r="CY941" s="17"/>
      <c r="CZ941" s="17"/>
      <c r="DA941" s="17"/>
      <c r="DB941" s="17"/>
      <c r="DC941" s="17"/>
      <c r="DD941" s="17"/>
      <c r="DE941" s="17"/>
      <c r="DF941" s="17"/>
      <c r="DG941" s="17"/>
      <c r="DH941" s="17"/>
      <c r="DI941" s="17"/>
      <c r="DJ941" s="17"/>
      <c r="DK941" s="17"/>
      <c r="DL941" s="17"/>
      <c r="DM941" s="17"/>
      <c r="DN941" s="17"/>
      <c r="DO941" s="17"/>
      <c r="DP941" s="17"/>
      <c r="DQ941" s="17"/>
      <c r="DR941" s="17"/>
      <c r="DS941" s="17"/>
      <c r="DT941" s="17"/>
      <c r="DU941" s="17"/>
      <c r="DV941" s="17"/>
      <c r="DW941" s="17"/>
    </row>
    <row r="942" spans="1:127" ht="18" customHeight="1">
      <c r="A942" s="16"/>
      <c r="B942" s="16"/>
      <c r="C942" s="16"/>
      <c r="D942" s="16"/>
      <c r="E942" s="16"/>
      <c r="F942" s="16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  <c r="CR942" s="17"/>
      <c r="CS942" s="17"/>
      <c r="CT942" s="17"/>
      <c r="CU942" s="17"/>
      <c r="CV942" s="17"/>
      <c r="CW942" s="17"/>
      <c r="CX942" s="17"/>
      <c r="CY942" s="17"/>
      <c r="CZ942" s="17"/>
      <c r="DA942" s="17"/>
      <c r="DB942" s="17"/>
      <c r="DC942" s="17"/>
      <c r="DD942" s="17"/>
      <c r="DE942" s="17"/>
      <c r="DF942" s="17"/>
      <c r="DG942" s="17"/>
      <c r="DH942" s="17"/>
      <c r="DI942" s="17"/>
      <c r="DJ942" s="17"/>
      <c r="DK942" s="17"/>
      <c r="DL942" s="17"/>
      <c r="DM942" s="17"/>
      <c r="DN942" s="17"/>
      <c r="DO942" s="17"/>
      <c r="DP942" s="17"/>
      <c r="DQ942" s="17"/>
      <c r="DR942" s="17"/>
      <c r="DS942" s="17"/>
      <c r="DT942" s="17"/>
      <c r="DU942" s="17"/>
      <c r="DV942" s="17"/>
      <c r="DW942" s="17"/>
    </row>
    <row r="943" spans="1:127" ht="18" customHeight="1">
      <c r="A943" s="16"/>
      <c r="B943" s="16"/>
      <c r="C943" s="16"/>
      <c r="D943" s="16"/>
      <c r="E943" s="16"/>
      <c r="F943" s="16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  <c r="CL943" s="17"/>
      <c r="CM943" s="17"/>
      <c r="CN943" s="17"/>
      <c r="CO943" s="17"/>
      <c r="CP943" s="17"/>
      <c r="CQ943" s="17"/>
      <c r="CR943" s="17"/>
      <c r="CS943" s="17"/>
      <c r="CT943" s="17"/>
      <c r="CU943" s="17"/>
      <c r="CV943" s="17"/>
      <c r="CW943" s="17"/>
      <c r="CX943" s="17"/>
      <c r="CY943" s="17"/>
      <c r="CZ943" s="17"/>
      <c r="DA943" s="17"/>
      <c r="DB943" s="17"/>
      <c r="DC943" s="17"/>
      <c r="DD943" s="17"/>
      <c r="DE943" s="17"/>
      <c r="DF943" s="17"/>
      <c r="DG943" s="17"/>
      <c r="DH943" s="17"/>
      <c r="DI943" s="17"/>
      <c r="DJ943" s="17"/>
      <c r="DK943" s="17"/>
      <c r="DL943" s="17"/>
      <c r="DM943" s="17"/>
      <c r="DN943" s="17"/>
      <c r="DO943" s="17"/>
      <c r="DP943" s="17"/>
      <c r="DQ943" s="17"/>
      <c r="DR943" s="17"/>
      <c r="DS943" s="17"/>
      <c r="DT943" s="17"/>
      <c r="DU943" s="17"/>
      <c r="DV943" s="17"/>
      <c r="DW943" s="17"/>
    </row>
    <row r="944" spans="1:127" ht="18" customHeight="1">
      <c r="A944" s="16"/>
      <c r="B944" s="16"/>
      <c r="C944" s="16"/>
      <c r="D944" s="16"/>
      <c r="E944" s="16"/>
      <c r="F944" s="16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  <c r="BK944" s="17"/>
      <c r="BL944" s="17"/>
      <c r="BM944" s="17"/>
      <c r="BN944" s="17"/>
      <c r="BO944" s="17"/>
      <c r="BP944" s="17"/>
      <c r="BQ944" s="17"/>
      <c r="BR944" s="17"/>
      <c r="BS944" s="17"/>
      <c r="BT944" s="17"/>
      <c r="BU944" s="17"/>
      <c r="BV944" s="17"/>
      <c r="BW944" s="17"/>
      <c r="BX944" s="17"/>
      <c r="BY944" s="17"/>
      <c r="BZ944" s="17"/>
      <c r="CA944" s="17"/>
      <c r="CB944" s="17"/>
      <c r="CC944" s="17"/>
      <c r="CD944" s="17"/>
      <c r="CE944" s="17"/>
      <c r="CF944" s="17"/>
      <c r="CG944" s="17"/>
      <c r="CH944" s="17"/>
      <c r="CI944" s="17"/>
      <c r="CJ944" s="17"/>
      <c r="CK944" s="17"/>
      <c r="CL944" s="17"/>
      <c r="CM944" s="17"/>
      <c r="CN944" s="17"/>
      <c r="CO944" s="17"/>
      <c r="CP944" s="17"/>
      <c r="CQ944" s="17"/>
      <c r="CR944" s="17"/>
      <c r="CS944" s="17"/>
      <c r="CT944" s="17"/>
      <c r="CU944" s="17"/>
      <c r="CV944" s="17"/>
      <c r="CW944" s="17"/>
      <c r="CX944" s="17"/>
      <c r="CY944" s="17"/>
      <c r="CZ944" s="17"/>
      <c r="DA944" s="17"/>
      <c r="DB944" s="17"/>
      <c r="DC944" s="17"/>
      <c r="DD944" s="17"/>
      <c r="DE944" s="17"/>
      <c r="DF944" s="17"/>
      <c r="DG944" s="17"/>
      <c r="DH944" s="17"/>
      <c r="DI944" s="17"/>
      <c r="DJ944" s="17"/>
      <c r="DK944" s="17"/>
      <c r="DL944" s="17"/>
      <c r="DM944" s="17"/>
      <c r="DN944" s="17"/>
      <c r="DO944" s="17"/>
      <c r="DP944" s="17"/>
      <c r="DQ944" s="17"/>
      <c r="DR944" s="17"/>
      <c r="DS944" s="17"/>
      <c r="DT944" s="17"/>
      <c r="DU944" s="17"/>
      <c r="DV944" s="17"/>
      <c r="DW944" s="17"/>
    </row>
    <row r="945" spans="1:127" ht="18" customHeight="1">
      <c r="A945" s="16"/>
      <c r="B945" s="16"/>
      <c r="C945" s="16"/>
      <c r="D945" s="16"/>
      <c r="E945" s="16"/>
      <c r="F945" s="16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  <c r="CR945" s="17"/>
      <c r="CS945" s="17"/>
      <c r="CT945" s="17"/>
      <c r="CU945" s="17"/>
      <c r="CV945" s="17"/>
      <c r="CW945" s="17"/>
      <c r="CX945" s="17"/>
      <c r="CY945" s="17"/>
      <c r="CZ945" s="17"/>
      <c r="DA945" s="17"/>
      <c r="DB945" s="17"/>
      <c r="DC945" s="17"/>
      <c r="DD945" s="17"/>
      <c r="DE945" s="17"/>
      <c r="DF945" s="17"/>
      <c r="DG945" s="17"/>
      <c r="DH945" s="17"/>
      <c r="DI945" s="17"/>
      <c r="DJ945" s="17"/>
      <c r="DK945" s="17"/>
      <c r="DL945" s="17"/>
      <c r="DM945" s="17"/>
      <c r="DN945" s="17"/>
      <c r="DO945" s="17"/>
      <c r="DP945" s="17"/>
      <c r="DQ945" s="17"/>
      <c r="DR945" s="17"/>
      <c r="DS945" s="17"/>
      <c r="DT945" s="17"/>
      <c r="DU945" s="17"/>
      <c r="DV945" s="17"/>
      <c r="DW945" s="17"/>
    </row>
    <row r="946" spans="1:127" ht="18" customHeight="1">
      <c r="A946" s="16"/>
      <c r="B946" s="16"/>
      <c r="C946" s="16"/>
      <c r="D946" s="16"/>
      <c r="E946" s="16"/>
      <c r="F946" s="16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  <c r="CR946" s="17"/>
      <c r="CS946" s="17"/>
      <c r="CT946" s="17"/>
      <c r="CU946" s="17"/>
      <c r="CV946" s="17"/>
      <c r="CW946" s="17"/>
      <c r="CX946" s="17"/>
      <c r="CY946" s="17"/>
      <c r="CZ946" s="17"/>
      <c r="DA946" s="17"/>
      <c r="DB946" s="17"/>
      <c r="DC946" s="17"/>
      <c r="DD946" s="17"/>
      <c r="DE946" s="17"/>
      <c r="DF946" s="17"/>
      <c r="DG946" s="17"/>
      <c r="DH946" s="17"/>
      <c r="DI946" s="17"/>
      <c r="DJ946" s="17"/>
      <c r="DK946" s="17"/>
      <c r="DL946" s="17"/>
      <c r="DM946" s="17"/>
      <c r="DN946" s="17"/>
      <c r="DO946" s="17"/>
      <c r="DP946" s="17"/>
      <c r="DQ946" s="17"/>
      <c r="DR946" s="17"/>
      <c r="DS946" s="17"/>
      <c r="DT946" s="17"/>
      <c r="DU946" s="17"/>
      <c r="DV946" s="17"/>
      <c r="DW946" s="17"/>
    </row>
    <row r="947" spans="1:127" ht="18" customHeight="1">
      <c r="A947" s="16"/>
      <c r="B947" s="16"/>
      <c r="C947" s="16"/>
      <c r="D947" s="16"/>
      <c r="E947" s="16"/>
      <c r="F947" s="16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  <c r="BK947" s="17"/>
      <c r="BL947" s="17"/>
      <c r="BM947" s="17"/>
      <c r="BN947" s="17"/>
      <c r="BO947" s="17"/>
      <c r="BP947" s="17"/>
      <c r="BQ947" s="17"/>
      <c r="BR947" s="17"/>
      <c r="BS947" s="17"/>
      <c r="BT947" s="17"/>
      <c r="BU947" s="17"/>
      <c r="BV947" s="17"/>
      <c r="BW947" s="17"/>
      <c r="BX947" s="17"/>
      <c r="BY947" s="17"/>
      <c r="BZ947" s="17"/>
      <c r="CA947" s="17"/>
      <c r="CB947" s="17"/>
      <c r="CC947" s="17"/>
      <c r="CD947" s="17"/>
      <c r="CE947" s="17"/>
      <c r="CF947" s="17"/>
      <c r="CG947" s="17"/>
      <c r="CH947" s="17"/>
      <c r="CI947" s="17"/>
      <c r="CJ947" s="17"/>
      <c r="CK947" s="17"/>
      <c r="CL947" s="17"/>
      <c r="CM947" s="17"/>
      <c r="CN947" s="17"/>
      <c r="CO947" s="17"/>
      <c r="CP947" s="17"/>
      <c r="CQ947" s="17"/>
      <c r="CR947" s="17"/>
      <c r="CS947" s="17"/>
      <c r="CT947" s="17"/>
      <c r="CU947" s="17"/>
      <c r="CV947" s="17"/>
      <c r="CW947" s="17"/>
      <c r="CX947" s="17"/>
      <c r="CY947" s="17"/>
      <c r="CZ947" s="17"/>
      <c r="DA947" s="17"/>
      <c r="DB947" s="17"/>
      <c r="DC947" s="17"/>
      <c r="DD947" s="17"/>
      <c r="DE947" s="17"/>
      <c r="DF947" s="17"/>
      <c r="DG947" s="17"/>
      <c r="DH947" s="17"/>
      <c r="DI947" s="17"/>
      <c r="DJ947" s="17"/>
      <c r="DK947" s="17"/>
      <c r="DL947" s="17"/>
      <c r="DM947" s="17"/>
      <c r="DN947" s="17"/>
      <c r="DO947" s="17"/>
      <c r="DP947" s="17"/>
      <c r="DQ947" s="17"/>
      <c r="DR947" s="17"/>
      <c r="DS947" s="17"/>
      <c r="DT947" s="17"/>
      <c r="DU947" s="17"/>
      <c r="DV947" s="17"/>
      <c r="DW947" s="17"/>
    </row>
    <row r="948" spans="1:127" ht="18" customHeight="1">
      <c r="A948" s="16"/>
      <c r="B948" s="16"/>
      <c r="C948" s="16"/>
      <c r="D948" s="16"/>
      <c r="E948" s="16"/>
      <c r="F948" s="16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  <c r="CL948" s="17"/>
      <c r="CM948" s="17"/>
      <c r="CN948" s="17"/>
      <c r="CO948" s="17"/>
      <c r="CP948" s="17"/>
      <c r="CQ948" s="17"/>
      <c r="CR948" s="17"/>
      <c r="CS948" s="17"/>
      <c r="CT948" s="17"/>
      <c r="CU948" s="17"/>
      <c r="CV948" s="17"/>
      <c r="CW948" s="17"/>
      <c r="CX948" s="17"/>
      <c r="CY948" s="17"/>
      <c r="CZ948" s="17"/>
      <c r="DA948" s="17"/>
      <c r="DB948" s="17"/>
      <c r="DC948" s="17"/>
      <c r="DD948" s="17"/>
      <c r="DE948" s="17"/>
      <c r="DF948" s="17"/>
      <c r="DG948" s="17"/>
      <c r="DH948" s="17"/>
      <c r="DI948" s="17"/>
      <c r="DJ948" s="17"/>
      <c r="DK948" s="17"/>
      <c r="DL948" s="17"/>
      <c r="DM948" s="17"/>
      <c r="DN948" s="17"/>
      <c r="DO948" s="17"/>
      <c r="DP948" s="17"/>
      <c r="DQ948" s="17"/>
      <c r="DR948" s="17"/>
      <c r="DS948" s="17"/>
      <c r="DT948" s="17"/>
      <c r="DU948" s="17"/>
      <c r="DV948" s="17"/>
      <c r="DW948" s="17"/>
    </row>
    <row r="949" spans="1:127" ht="18" customHeight="1">
      <c r="A949" s="16"/>
      <c r="B949" s="16"/>
      <c r="C949" s="16"/>
      <c r="D949" s="16"/>
      <c r="E949" s="16"/>
      <c r="F949" s="16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  <c r="CL949" s="17"/>
      <c r="CM949" s="17"/>
      <c r="CN949" s="17"/>
      <c r="CO949" s="17"/>
      <c r="CP949" s="17"/>
      <c r="CQ949" s="17"/>
      <c r="CR949" s="17"/>
      <c r="CS949" s="17"/>
      <c r="CT949" s="17"/>
      <c r="CU949" s="17"/>
      <c r="CV949" s="17"/>
      <c r="CW949" s="17"/>
      <c r="CX949" s="17"/>
      <c r="CY949" s="17"/>
      <c r="CZ949" s="17"/>
      <c r="DA949" s="17"/>
      <c r="DB949" s="17"/>
      <c r="DC949" s="17"/>
      <c r="DD949" s="17"/>
      <c r="DE949" s="17"/>
      <c r="DF949" s="17"/>
      <c r="DG949" s="17"/>
      <c r="DH949" s="17"/>
      <c r="DI949" s="17"/>
      <c r="DJ949" s="17"/>
      <c r="DK949" s="17"/>
      <c r="DL949" s="17"/>
      <c r="DM949" s="17"/>
      <c r="DN949" s="17"/>
      <c r="DO949" s="17"/>
      <c r="DP949" s="17"/>
      <c r="DQ949" s="17"/>
      <c r="DR949" s="17"/>
      <c r="DS949" s="17"/>
      <c r="DT949" s="17"/>
      <c r="DU949" s="17"/>
      <c r="DV949" s="17"/>
      <c r="DW949" s="17"/>
    </row>
    <row r="950" spans="1:127" ht="18" customHeight="1">
      <c r="A950" s="16"/>
      <c r="B950" s="16"/>
      <c r="C950" s="16"/>
      <c r="D950" s="16"/>
      <c r="E950" s="16"/>
      <c r="F950" s="16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  <c r="CR950" s="17"/>
      <c r="CS950" s="17"/>
      <c r="CT950" s="17"/>
      <c r="CU950" s="17"/>
      <c r="CV950" s="17"/>
      <c r="CW950" s="17"/>
      <c r="CX950" s="17"/>
      <c r="CY950" s="17"/>
      <c r="CZ950" s="17"/>
      <c r="DA950" s="17"/>
      <c r="DB950" s="17"/>
      <c r="DC950" s="17"/>
      <c r="DD950" s="17"/>
      <c r="DE950" s="17"/>
      <c r="DF950" s="17"/>
      <c r="DG950" s="17"/>
      <c r="DH950" s="17"/>
      <c r="DI950" s="17"/>
      <c r="DJ950" s="17"/>
      <c r="DK950" s="17"/>
      <c r="DL950" s="17"/>
      <c r="DM950" s="17"/>
      <c r="DN950" s="17"/>
      <c r="DO950" s="17"/>
      <c r="DP950" s="17"/>
      <c r="DQ950" s="17"/>
      <c r="DR950" s="17"/>
      <c r="DS950" s="17"/>
      <c r="DT950" s="17"/>
      <c r="DU950" s="17"/>
      <c r="DV950" s="17"/>
      <c r="DW950" s="17"/>
    </row>
    <row r="951" spans="1:127" ht="18" customHeight="1">
      <c r="A951" s="16"/>
      <c r="B951" s="16"/>
      <c r="C951" s="16"/>
      <c r="D951" s="16"/>
      <c r="E951" s="16"/>
      <c r="F951" s="16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  <c r="CR951" s="17"/>
      <c r="CS951" s="17"/>
      <c r="CT951" s="17"/>
      <c r="CU951" s="17"/>
      <c r="CV951" s="17"/>
      <c r="CW951" s="17"/>
      <c r="CX951" s="17"/>
      <c r="CY951" s="17"/>
      <c r="CZ951" s="17"/>
      <c r="DA951" s="17"/>
      <c r="DB951" s="17"/>
      <c r="DC951" s="17"/>
      <c r="DD951" s="17"/>
      <c r="DE951" s="17"/>
      <c r="DF951" s="17"/>
      <c r="DG951" s="17"/>
      <c r="DH951" s="17"/>
      <c r="DI951" s="17"/>
      <c r="DJ951" s="17"/>
      <c r="DK951" s="17"/>
      <c r="DL951" s="17"/>
      <c r="DM951" s="17"/>
      <c r="DN951" s="17"/>
      <c r="DO951" s="17"/>
      <c r="DP951" s="17"/>
      <c r="DQ951" s="17"/>
      <c r="DR951" s="17"/>
      <c r="DS951" s="17"/>
      <c r="DT951" s="17"/>
      <c r="DU951" s="17"/>
      <c r="DV951" s="17"/>
      <c r="DW951" s="17"/>
    </row>
    <row r="952" spans="1:127" ht="18" customHeight="1">
      <c r="A952" s="16"/>
      <c r="B952" s="16"/>
      <c r="C952" s="16"/>
      <c r="D952" s="16"/>
      <c r="E952" s="16"/>
      <c r="F952" s="16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  <c r="BK952" s="17"/>
      <c r="BL952" s="17"/>
      <c r="BM952" s="17"/>
      <c r="BN952" s="17"/>
      <c r="BO952" s="17"/>
      <c r="BP952" s="17"/>
      <c r="BQ952" s="17"/>
      <c r="BR952" s="17"/>
      <c r="BS952" s="17"/>
      <c r="BT952" s="17"/>
      <c r="BU952" s="17"/>
      <c r="BV952" s="17"/>
      <c r="BW952" s="17"/>
      <c r="BX952" s="17"/>
      <c r="BY952" s="17"/>
      <c r="BZ952" s="17"/>
      <c r="CA952" s="17"/>
      <c r="CB952" s="17"/>
      <c r="CC952" s="17"/>
      <c r="CD952" s="17"/>
      <c r="CE952" s="17"/>
      <c r="CF952" s="17"/>
      <c r="CG952" s="17"/>
      <c r="CH952" s="17"/>
      <c r="CI952" s="17"/>
      <c r="CJ952" s="17"/>
      <c r="CK952" s="17"/>
      <c r="CL952" s="17"/>
      <c r="CM952" s="17"/>
      <c r="CN952" s="17"/>
      <c r="CO952" s="17"/>
      <c r="CP952" s="17"/>
      <c r="CQ952" s="17"/>
      <c r="CR952" s="17"/>
      <c r="CS952" s="17"/>
      <c r="CT952" s="17"/>
      <c r="CU952" s="17"/>
      <c r="CV952" s="17"/>
      <c r="CW952" s="17"/>
      <c r="CX952" s="17"/>
      <c r="CY952" s="17"/>
      <c r="CZ952" s="17"/>
      <c r="DA952" s="17"/>
      <c r="DB952" s="17"/>
      <c r="DC952" s="17"/>
      <c r="DD952" s="17"/>
      <c r="DE952" s="17"/>
      <c r="DF952" s="17"/>
      <c r="DG952" s="17"/>
      <c r="DH952" s="17"/>
      <c r="DI952" s="17"/>
      <c r="DJ952" s="17"/>
      <c r="DK952" s="17"/>
      <c r="DL952" s="17"/>
      <c r="DM952" s="17"/>
      <c r="DN952" s="17"/>
      <c r="DO952" s="17"/>
      <c r="DP952" s="17"/>
      <c r="DQ952" s="17"/>
      <c r="DR952" s="17"/>
      <c r="DS952" s="17"/>
      <c r="DT952" s="17"/>
      <c r="DU952" s="17"/>
      <c r="DV952" s="17"/>
      <c r="DW952" s="17"/>
    </row>
    <row r="953" spans="1:127" ht="18" customHeight="1">
      <c r="A953" s="16"/>
      <c r="B953" s="16"/>
      <c r="C953" s="16"/>
      <c r="D953" s="16"/>
      <c r="E953" s="16"/>
      <c r="F953" s="16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  <c r="BK953" s="17"/>
      <c r="BL953" s="17"/>
      <c r="BM953" s="17"/>
      <c r="BN953" s="17"/>
      <c r="BO953" s="17"/>
      <c r="BP953" s="17"/>
      <c r="BQ953" s="17"/>
      <c r="BR953" s="17"/>
      <c r="BS953" s="17"/>
      <c r="BT953" s="17"/>
      <c r="BU953" s="17"/>
      <c r="BV953" s="17"/>
      <c r="BW953" s="17"/>
      <c r="BX953" s="17"/>
      <c r="BY953" s="17"/>
      <c r="BZ953" s="17"/>
      <c r="CA953" s="17"/>
      <c r="CB953" s="17"/>
      <c r="CC953" s="17"/>
      <c r="CD953" s="17"/>
      <c r="CE953" s="17"/>
      <c r="CF953" s="17"/>
      <c r="CG953" s="17"/>
      <c r="CH953" s="17"/>
      <c r="CI953" s="17"/>
      <c r="CJ953" s="17"/>
      <c r="CK953" s="17"/>
      <c r="CL953" s="17"/>
      <c r="CM953" s="17"/>
      <c r="CN953" s="17"/>
      <c r="CO953" s="17"/>
      <c r="CP953" s="17"/>
      <c r="CQ953" s="17"/>
      <c r="CR953" s="17"/>
      <c r="CS953" s="17"/>
      <c r="CT953" s="17"/>
      <c r="CU953" s="17"/>
      <c r="CV953" s="17"/>
      <c r="CW953" s="17"/>
      <c r="CX953" s="17"/>
      <c r="CY953" s="17"/>
      <c r="CZ953" s="17"/>
      <c r="DA953" s="17"/>
      <c r="DB953" s="17"/>
      <c r="DC953" s="17"/>
      <c r="DD953" s="17"/>
      <c r="DE953" s="17"/>
      <c r="DF953" s="17"/>
      <c r="DG953" s="17"/>
      <c r="DH953" s="17"/>
      <c r="DI953" s="17"/>
      <c r="DJ953" s="17"/>
      <c r="DK953" s="17"/>
      <c r="DL953" s="17"/>
      <c r="DM953" s="17"/>
      <c r="DN953" s="17"/>
      <c r="DO953" s="17"/>
      <c r="DP953" s="17"/>
      <c r="DQ953" s="17"/>
      <c r="DR953" s="17"/>
      <c r="DS953" s="17"/>
      <c r="DT953" s="17"/>
      <c r="DU953" s="17"/>
      <c r="DV953" s="17"/>
      <c r="DW953" s="17"/>
    </row>
    <row r="954" spans="1:127" ht="18" customHeight="1">
      <c r="A954" s="16"/>
      <c r="B954" s="16"/>
      <c r="C954" s="16"/>
      <c r="D954" s="16"/>
      <c r="E954" s="16"/>
      <c r="F954" s="16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  <c r="BK954" s="17"/>
      <c r="BL954" s="17"/>
      <c r="BM954" s="17"/>
      <c r="BN954" s="17"/>
      <c r="BO954" s="17"/>
      <c r="BP954" s="17"/>
      <c r="BQ954" s="17"/>
      <c r="BR954" s="17"/>
      <c r="BS954" s="17"/>
      <c r="BT954" s="17"/>
      <c r="BU954" s="17"/>
      <c r="BV954" s="17"/>
      <c r="BW954" s="17"/>
      <c r="BX954" s="17"/>
      <c r="BY954" s="17"/>
      <c r="BZ954" s="17"/>
      <c r="CA954" s="17"/>
      <c r="CB954" s="17"/>
      <c r="CC954" s="17"/>
      <c r="CD954" s="17"/>
      <c r="CE954" s="17"/>
      <c r="CF954" s="17"/>
      <c r="CG954" s="17"/>
      <c r="CH954" s="17"/>
      <c r="CI954" s="17"/>
      <c r="CJ954" s="17"/>
      <c r="CK954" s="17"/>
      <c r="CL954" s="17"/>
      <c r="CM954" s="17"/>
      <c r="CN954" s="17"/>
      <c r="CO954" s="17"/>
      <c r="CP954" s="17"/>
      <c r="CQ954" s="17"/>
      <c r="CR954" s="17"/>
      <c r="CS954" s="17"/>
      <c r="CT954" s="17"/>
      <c r="CU954" s="17"/>
      <c r="CV954" s="17"/>
      <c r="CW954" s="17"/>
      <c r="CX954" s="17"/>
      <c r="CY954" s="17"/>
      <c r="CZ954" s="17"/>
      <c r="DA954" s="17"/>
      <c r="DB954" s="17"/>
      <c r="DC954" s="17"/>
      <c r="DD954" s="17"/>
      <c r="DE954" s="17"/>
      <c r="DF954" s="17"/>
      <c r="DG954" s="17"/>
      <c r="DH954" s="17"/>
      <c r="DI954" s="17"/>
      <c r="DJ954" s="17"/>
      <c r="DK954" s="17"/>
      <c r="DL954" s="17"/>
      <c r="DM954" s="17"/>
      <c r="DN954" s="17"/>
      <c r="DO954" s="17"/>
      <c r="DP954" s="17"/>
      <c r="DQ954" s="17"/>
      <c r="DR954" s="17"/>
      <c r="DS954" s="17"/>
      <c r="DT954" s="17"/>
      <c r="DU954" s="17"/>
      <c r="DV954" s="17"/>
      <c r="DW954" s="17"/>
    </row>
    <row r="955" spans="1:127" ht="18" customHeight="1">
      <c r="A955" s="16"/>
      <c r="B955" s="16"/>
      <c r="C955" s="16"/>
      <c r="D955" s="16"/>
      <c r="E955" s="16"/>
      <c r="F955" s="16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  <c r="BK955" s="17"/>
      <c r="BL955" s="17"/>
      <c r="BM955" s="17"/>
      <c r="BN955" s="17"/>
      <c r="BO955" s="17"/>
      <c r="BP955" s="17"/>
      <c r="BQ955" s="17"/>
      <c r="BR955" s="17"/>
      <c r="BS955" s="17"/>
      <c r="BT955" s="17"/>
      <c r="BU955" s="17"/>
      <c r="BV955" s="17"/>
      <c r="BW955" s="17"/>
      <c r="BX955" s="17"/>
      <c r="BY955" s="17"/>
      <c r="BZ955" s="17"/>
      <c r="CA955" s="17"/>
      <c r="CB955" s="17"/>
      <c r="CC955" s="17"/>
      <c r="CD955" s="17"/>
      <c r="CE955" s="17"/>
      <c r="CF955" s="17"/>
      <c r="CG955" s="17"/>
      <c r="CH955" s="17"/>
      <c r="CI955" s="17"/>
      <c r="CJ955" s="17"/>
      <c r="CK955" s="17"/>
      <c r="CL955" s="17"/>
      <c r="CM955" s="17"/>
      <c r="CN955" s="17"/>
      <c r="CO955" s="17"/>
      <c r="CP955" s="17"/>
      <c r="CQ955" s="17"/>
      <c r="CR955" s="17"/>
      <c r="CS955" s="17"/>
      <c r="CT955" s="17"/>
      <c r="CU955" s="17"/>
      <c r="CV955" s="17"/>
      <c r="CW955" s="17"/>
      <c r="CX955" s="17"/>
      <c r="CY955" s="17"/>
      <c r="CZ955" s="17"/>
      <c r="DA955" s="17"/>
      <c r="DB955" s="17"/>
      <c r="DC955" s="17"/>
      <c r="DD955" s="17"/>
      <c r="DE955" s="17"/>
      <c r="DF955" s="17"/>
      <c r="DG955" s="17"/>
      <c r="DH955" s="17"/>
      <c r="DI955" s="17"/>
      <c r="DJ955" s="17"/>
      <c r="DK955" s="17"/>
      <c r="DL955" s="17"/>
      <c r="DM955" s="17"/>
      <c r="DN955" s="17"/>
      <c r="DO955" s="17"/>
      <c r="DP955" s="17"/>
      <c r="DQ955" s="17"/>
      <c r="DR955" s="17"/>
      <c r="DS955" s="17"/>
      <c r="DT955" s="17"/>
      <c r="DU955" s="17"/>
      <c r="DV955" s="17"/>
      <c r="DW955" s="17"/>
    </row>
    <row r="956" spans="1:127" ht="18" customHeight="1">
      <c r="A956" s="16"/>
      <c r="B956" s="16"/>
      <c r="C956" s="16"/>
      <c r="D956" s="16"/>
      <c r="E956" s="16"/>
      <c r="F956" s="16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  <c r="BK956" s="17"/>
      <c r="BL956" s="17"/>
      <c r="BM956" s="17"/>
      <c r="BN956" s="17"/>
      <c r="BO956" s="17"/>
      <c r="BP956" s="17"/>
      <c r="BQ956" s="17"/>
      <c r="BR956" s="17"/>
      <c r="BS956" s="17"/>
      <c r="BT956" s="17"/>
      <c r="BU956" s="17"/>
      <c r="BV956" s="17"/>
      <c r="BW956" s="17"/>
      <c r="BX956" s="17"/>
      <c r="BY956" s="17"/>
      <c r="BZ956" s="17"/>
      <c r="CA956" s="17"/>
      <c r="CB956" s="17"/>
      <c r="CC956" s="17"/>
      <c r="CD956" s="17"/>
      <c r="CE956" s="17"/>
      <c r="CF956" s="17"/>
      <c r="CG956" s="17"/>
      <c r="CH956" s="17"/>
      <c r="CI956" s="17"/>
      <c r="CJ956" s="17"/>
      <c r="CK956" s="17"/>
      <c r="CL956" s="17"/>
      <c r="CM956" s="17"/>
      <c r="CN956" s="17"/>
      <c r="CO956" s="17"/>
      <c r="CP956" s="17"/>
      <c r="CQ956" s="17"/>
      <c r="CR956" s="17"/>
      <c r="CS956" s="17"/>
      <c r="CT956" s="17"/>
      <c r="CU956" s="17"/>
      <c r="CV956" s="17"/>
      <c r="CW956" s="17"/>
      <c r="CX956" s="17"/>
      <c r="CY956" s="17"/>
      <c r="CZ956" s="17"/>
      <c r="DA956" s="17"/>
      <c r="DB956" s="17"/>
      <c r="DC956" s="17"/>
      <c r="DD956" s="17"/>
      <c r="DE956" s="17"/>
      <c r="DF956" s="17"/>
      <c r="DG956" s="17"/>
      <c r="DH956" s="17"/>
      <c r="DI956" s="17"/>
      <c r="DJ956" s="17"/>
      <c r="DK956" s="17"/>
      <c r="DL956" s="17"/>
      <c r="DM956" s="17"/>
      <c r="DN956" s="17"/>
      <c r="DO956" s="17"/>
      <c r="DP956" s="17"/>
      <c r="DQ956" s="17"/>
      <c r="DR956" s="17"/>
      <c r="DS956" s="17"/>
      <c r="DT956" s="17"/>
      <c r="DU956" s="17"/>
      <c r="DV956" s="17"/>
      <c r="DW956" s="17"/>
    </row>
    <row r="957" spans="1:127" ht="18" customHeight="1">
      <c r="A957" s="16"/>
      <c r="B957" s="16"/>
      <c r="C957" s="16"/>
      <c r="D957" s="16"/>
      <c r="E957" s="16"/>
      <c r="F957" s="16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  <c r="BK957" s="17"/>
      <c r="BL957" s="17"/>
      <c r="BM957" s="17"/>
      <c r="BN957" s="17"/>
      <c r="BO957" s="17"/>
      <c r="BP957" s="17"/>
      <c r="BQ957" s="17"/>
      <c r="BR957" s="17"/>
      <c r="BS957" s="17"/>
      <c r="BT957" s="17"/>
      <c r="BU957" s="17"/>
      <c r="BV957" s="17"/>
      <c r="BW957" s="17"/>
      <c r="BX957" s="17"/>
      <c r="BY957" s="17"/>
      <c r="BZ957" s="17"/>
      <c r="CA957" s="17"/>
      <c r="CB957" s="17"/>
      <c r="CC957" s="17"/>
      <c r="CD957" s="17"/>
      <c r="CE957" s="17"/>
      <c r="CF957" s="17"/>
      <c r="CG957" s="17"/>
      <c r="CH957" s="17"/>
      <c r="CI957" s="17"/>
      <c r="CJ957" s="17"/>
      <c r="CK957" s="17"/>
      <c r="CL957" s="17"/>
      <c r="CM957" s="17"/>
      <c r="CN957" s="17"/>
      <c r="CO957" s="17"/>
      <c r="CP957" s="17"/>
      <c r="CQ957" s="17"/>
      <c r="CR957" s="17"/>
      <c r="CS957" s="17"/>
      <c r="CT957" s="17"/>
      <c r="CU957" s="17"/>
      <c r="CV957" s="17"/>
      <c r="CW957" s="17"/>
      <c r="CX957" s="17"/>
      <c r="CY957" s="17"/>
      <c r="CZ957" s="17"/>
      <c r="DA957" s="17"/>
      <c r="DB957" s="17"/>
      <c r="DC957" s="17"/>
      <c r="DD957" s="17"/>
      <c r="DE957" s="17"/>
      <c r="DF957" s="17"/>
      <c r="DG957" s="17"/>
      <c r="DH957" s="17"/>
      <c r="DI957" s="17"/>
      <c r="DJ957" s="17"/>
      <c r="DK957" s="17"/>
      <c r="DL957" s="17"/>
      <c r="DM957" s="17"/>
      <c r="DN957" s="17"/>
      <c r="DO957" s="17"/>
      <c r="DP957" s="17"/>
      <c r="DQ957" s="17"/>
      <c r="DR957" s="17"/>
      <c r="DS957" s="17"/>
      <c r="DT957" s="17"/>
      <c r="DU957" s="17"/>
      <c r="DV957" s="17"/>
      <c r="DW957" s="17"/>
    </row>
    <row r="958" spans="1:127" ht="18" customHeight="1">
      <c r="A958" s="16"/>
      <c r="B958" s="16"/>
      <c r="C958" s="16"/>
      <c r="D958" s="16"/>
      <c r="E958" s="16"/>
      <c r="F958" s="16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  <c r="BK958" s="17"/>
      <c r="BL958" s="17"/>
      <c r="BM958" s="17"/>
      <c r="BN958" s="17"/>
      <c r="BO958" s="17"/>
      <c r="BP958" s="17"/>
      <c r="BQ958" s="17"/>
      <c r="BR958" s="17"/>
      <c r="BS958" s="17"/>
      <c r="BT958" s="17"/>
      <c r="BU958" s="17"/>
      <c r="BV958" s="17"/>
      <c r="BW958" s="17"/>
      <c r="BX958" s="17"/>
      <c r="BY958" s="17"/>
      <c r="BZ958" s="17"/>
      <c r="CA958" s="17"/>
      <c r="CB958" s="17"/>
      <c r="CC958" s="17"/>
      <c r="CD958" s="17"/>
      <c r="CE958" s="17"/>
      <c r="CF958" s="17"/>
      <c r="CG958" s="17"/>
      <c r="CH958" s="17"/>
      <c r="CI958" s="17"/>
      <c r="CJ958" s="17"/>
      <c r="CK958" s="17"/>
      <c r="CL958" s="17"/>
      <c r="CM958" s="17"/>
      <c r="CN958" s="17"/>
      <c r="CO958" s="17"/>
      <c r="CP958" s="17"/>
      <c r="CQ958" s="17"/>
      <c r="CR958" s="17"/>
      <c r="CS958" s="17"/>
      <c r="CT958" s="17"/>
      <c r="CU958" s="17"/>
      <c r="CV958" s="17"/>
      <c r="CW958" s="17"/>
      <c r="CX958" s="17"/>
      <c r="CY958" s="17"/>
      <c r="CZ958" s="17"/>
      <c r="DA958" s="17"/>
      <c r="DB958" s="17"/>
      <c r="DC958" s="17"/>
      <c r="DD958" s="17"/>
      <c r="DE958" s="17"/>
      <c r="DF958" s="17"/>
      <c r="DG958" s="17"/>
      <c r="DH958" s="17"/>
      <c r="DI958" s="17"/>
      <c r="DJ958" s="17"/>
      <c r="DK958" s="17"/>
      <c r="DL958" s="17"/>
      <c r="DM958" s="17"/>
      <c r="DN958" s="17"/>
      <c r="DO958" s="17"/>
      <c r="DP958" s="17"/>
      <c r="DQ958" s="17"/>
      <c r="DR958" s="17"/>
      <c r="DS958" s="17"/>
      <c r="DT958" s="17"/>
      <c r="DU958" s="17"/>
      <c r="DV958" s="17"/>
      <c r="DW958" s="17"/>
    </row>
    <row r="959" spans="1:127" ht="18" customHeight="1">
      <c r="A959" s="16"/>
      <c r="B959" s="16"/>
      <c r="C959" s="16"/>
      <c r="D959" s="16"/>
      <c r="E959" s="16"/>
      <c r="F959" s="16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  <c r="CR959" s="17"/>
      <c r="CS959" s="17"/>
      <c r="CT959" s="17"/>
      <c r="CU959" s="17"/>
      <c r="CV959" s="17"/>
      <c r="CW959" s="17"/>
      <c r="CX959" s="17"/>
      <c r="CY959" s="17"/>
      <c r="CZ959" s="17"/>
      <c r="DA959" s="17"/>
      <c r="DB959" s="17"/>
      <c r="DC959" s="17"/>
      <c r="DD959" s="17"/>
      <c r="DE959" s="17"/>
      <c r="DF959" s="17"/>
      <c r="DG959" s="17"/>
      <c r="DH959" s="17"/>
      <c r="DI959" s="17"/>
      <c r="DJ959" s="17"/>
      <c r="DK959" s="17"/>
      <c r="DL959" s="17"/>
      <c r="DM959" s="17"/>
      <c r="DN959" s="17"/>
      <c r="DO959" s="17"/>
      <c r="DP959" s="17"/>
      <c r="DQ959" s="17"/>
      <c r="DR959" s="17"/>
      <c r="DS959" s="17"/>
      <c r="DT959" s="17"/>
      <c r="DU959" s="17"/>
      <c r="DV959" s="17"/>
      <c r="DW959" s="17"/>
    </row>
    <row r="960" spans="1:127" ht="18" customHeight="1">
      <c r="A960" s="16"/>
      <c r="B960" s="16"/>
      <c r="C960" s="16"/>
      <c r="D960" s="16"/>
      <c r="E960" s="16"/>
      <c r="F960" s="16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  <c r="CR960" s="17"/>
      <c r="CS960" s="17"/>
      <c r="CT960" s="17"/>
      <c r="CU960" s="17"/>
      <c r="CV960" s="17"/>
      <c r="CW960" s="17"/>
      <c r="CX960" s="17"/>
      <c r="CY960" s="17"/>
      <c r="CZ960" s="17"/>
      <c r="DA960" s="17"/>
      <c r="DB960" s="17"/>
      <c r="DC960" s="17"/>
      <c r="DD960" s="17"/>
      <c r="DE960" s="17"/>
      <c r="DF960" s="17"/>
      <c r="DG960" s="17"/>
      <c r="DH960" s="17"/>
      <c r="DI960" s="17"/>
      <c r="DJ960" s="17"/>
      <c r="DK960" s="17"/>
      <c r="DL960" s="17"/>
      <c r="DM960" s="17"/>
      <c r="DN960" s="17"/>
      <c r="DO960" s="17"/>
      <c r="DP960" s="17"/>
      <c r="DQ960" s="17"/>
      <c r="DR960" s="17"/>
      <c r="DS960" s="17"/>
      <c r="DT960" s="17"/>
      <c r="DU960" s="17"/>
      <c r="DV960" s="17"/>
      <c r="DW960" s="17"/>
    </row>
    <row r="961" spans="1:127" ht="18" customHeight="1">
      <c r="A961" s="16"/>
      <c r="B961" s="16"/>
      <c r="C961" s="16"/>
      <c r="D961" s="16"/>
      <c r="E961" s="16"/>
      <c r="F961" s="16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  <c r="BK961" s="17"/>
      <c r="BL961" s="17"/>
      <c r="BM961" s="17"/>
      <c r="BN961" s="17"/>
      <c r="BO961" s="17"/>
      <c r="BP961" s="17"/>
      <c r="BQ961" s="17"/>
      <c r="BR961" s="17"/>
      <c r="BS961" s="17"/>
      <c r="BT961" s="17"/>
      <c r="BU961" s="17"/>
      <c r="BV961" s="17"/>
      <c r="BW961" s="17"/>
      <c r="BX961" s="17"/>
      <c r="BY961" s="17"/>
      <c r="BZ961" s="17"/>
      <c r="CA961" s="17"/>
      <c r="CB961" s="17"/>
      <c r="CC961" s="17"/>
      <c r="CD961" s="17"/>
      <c r="CE961" s="17"/>
      <c r="CF961" s="17"/>
      <c r="CG961" s="17"/>
      <c r="CH961" s="17"/>
      <c r="CI961" s="17"/>
      <c r="CJ961" s="17"/>
      <c r="CK961" s="17"/>
      <c r="CL961" s="17"/>
      <c r="CM961" s="17"/>
      <c r="CN961" s="17"/>
      <c r="CO961" s="17"/>
      <c r="CP961" s="17"/>
      <c r="CQ961" s="17"/>
      <c r="CR961" s="17"/>
      <c r="CS961" s="17"/>
      <c r="CT961" s="17"/>
      <c r="CU961" s="17"/>
      <c r="CV961" s="17"/>
      <c r="CW961" s="17"/>
      <c r="CX961" s="17"/>
      <c r="CY961" s="17"/>
      <c r="CZ961" s="17"/>
      <c r="DA961" s="17"/>
      <c r="DB961" s="17"/>
      <c r="DC961" s="17"/>
      <c r="DD961" s="17"/>
      <c r="DE961" s="17"/>
      <c r="DF961" s="17"/>
      <c r="DG961" s="17"/>
      <c r="DH961" s="17"/>
      <c r="DI961" s="17"/>
      <c r="DJ961" s="17"/>
      <c r="DK961" s="17"/>
      <c r="DL961" s="17"/>
      <c r="DM961" s="17"/>
      <c r="DN961" s="17"/>
      <c r="DO961" s="17"/>
      <c r="DP961" s="17"/>
      <c r="DQ961" s="17"/>
      <c r="DR961" s="17"/>
      <c r="DS961" s="17"/>
      <c r="DT961" s="17"/>
      <c r="DU961" s="17"/>
      <c r="DV961" s="17"/>
      <c r="DW961" s="17"/>
    </row>
    <row r="962" spans="1:127" ht="18" customHeight="1">
      <c r="A962" s="16"/>
      <c r="B962" s="16"/>
      <c r="C962" s="16"/>
      <c r="D962" s="16"/>
      <c r="E962" s="16"/>
      <c r="F962" s="16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  <c r="BK962" s="17"/>
      <c r="BL962" s="17"/>
      <c r="BM962" s="17"/>
      <c r="BN962" s="17"/>
      <c r="BO962" s="17"/>
      <c r="BP962" s="17"/>
      <c r="BQ962" s="17"/>
      <c r="BR962" s="17"/>
      <c r="BS962" s="17"/>
      <c r="BT962" s="17"/>
      <c r="BU962" s="17"/>
      <c r="BV962" s="17"/>
      <c r="BW962" s="17"/>
      <c r="BX962" s="17"/>
      <c r="BY962" s="17"/>
      <c r="BZ962" s="17"/>
      <c r="CA962" s="17"/>
      <c r="CB962" s="17"/>
      <c r="CC962" s="17"/>
      <c r="CD962" s="17"/>
      <c r="CE962" s="17"/>
      <c r="CF962" s="17"/>
      <c r="CG962" s="17"/>
      <c r="CH962" s="17"/>
      <c r="CI962" s="17"/>
      <c r="CJ962" s="17"/>
      <c r="CK962" s="17"/>
      <c r="CL962" s="17"/>
      <c r="CM962" s="17"/>
      <c r="CN962" s="17"/>
      <c r="CO962" s="17"/>
      <c r="CP962" s="17"/>
      <c r="CQ962" s="17"/>
      <c r="CR962" s="17"/>
      <c r="CS962" s="17"/>
      <c r="CT962" s="17"/>
      <c r="CU962" s="17"/>
      <c r="CV962" s="17"/>
      <c r="CW962" s="17"/>
      <c r="CX962" s="17"/>
      <c r="CY962" s="17"/>
      <c r="CZ962" s="17"/>
      <c r="DA962" s="17"/>
      <c r="DB962" s="17"/>
      <c r="DC962" s="17"/>
      <c r="DD962" s="17"/>
      <c r="DE962" s="17"/>
      <c r="DF962" s="17"/>
      <c r="DG962" s="17"/>
      <c r="DH962" s="17"/>
      <c r="DI962" s="17"/>
      <c r="DJ962" s="17"/>
      <c r="DK962" s="17"/>
      <c r="DL962" s="17"/>
      <c r="DM962" s="17"/>
      <c r="DN962" s="17"/>
      <c r="DO962" s="17"/>
      <c r="DP962" s="17"/>
      <c r="DQ962" s="17"/>
      <c r="DR962" s="17"/>
      <c r="DS962" s="17"/>
      <c r="DT962" s="17"/>
      <c r="DU962" s="17"/>
      <c r="DV962" s="17"/>
      <c r="DW962" s="17"/>
    </row>
    <row r="963" spans="1:127" ht="18" customHeight="1">
      <c r="A963" s="16"/>
      <c r="B963" s="16"/>
      <c r="C963" s="16"/>
      <c r="D963" s="16"/>
      <c r="E963" s="16"/>
      <c r="F963" s="16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  <c r="BK963" s="17"/>
      <c r="BL963" s="17"/>
      <c r="BM963" s="17"/>
      <c r="BN963" s="17"/>
      <c r="BO963" s="17"/>
      <c r="BP963" s="17"/>
      <c r="BQ963" s="17"/>
      <c r="BR963" s="17"/>
      <c r="BS963" s="17"/>
      <c r="BT963" s="17"/>
      <c r="BU963" s="17"/>
      <c r="BV963" s="17"/>
      <c r="BW963" s="17"/>
      <c r="BX963" s="17"/>
      <c r="BY963" s="17"/>
      <c r="BZ963" s="17"/>
      <c r="CA963" s="17"/>
      <c r="CB963" s="17"/>
      <c r="CC963" s="17"/>
      <c r="CD963" s="17"/>
      <c r="CE963" s="17"/>
      <c r="CF963" s="17"/>
      <c r="CG963" s="17"/>
      <c r="CH963" s="17"/>
      <c r="CI963" s="17"/>
      <c r="CJ963" s="17"/>
      <c r="CK963" s="17"/>
      <c r="CL963" s="17"/>
      <c r="CM963" s="17"/>
      <c r="CN963" s="17"/>
      <c r="CO963" s="17"/>
      <c r="CP963" s="17"/>
      <c r="CQ963" s="17"/>
      <c r="CR963" s="17"/>
      <c r="CS963" s="17"/>
      <c r="CT963" s="17"/>
      <c r="CU963" s="17"/>
      <c r="CV963" s="17"/>
      <c r="CW963" s="17"/>
      <c r="CX963" s="17"/>
      <c r="CY963" s="17"/>
      <c r="CZ963" s="17"/>
      <c r="DA963" s="17"/>
      <c r="DB963" s="17"/>
      <c r="DC963" s="17"/>
      <c r="DD963" s="17"/>
      <c r="DE963" s="17"/>
      <c r="DF963" s="17"/>
      <c r="DG963" s="17"/>
      <c r="DH963" s="17"/>
      <c r="DI963" s="17"/>
      <c r="DJ963" s="17"/>
      <c r="DK963" s="17"/>
      <c r="DL963" s="17"/>
      <c r="DM963" s="17"/>
      <c r="DN963" s="17"/>
      <c r="DO963" s="17"/>
      <c r="DP963" s="17"/>
      <c r="DQ963" s="17"/>
      <c r="DR963" s="17"/>
      <c r="DS963" s="17"/>
      <c r="DT963" s="17"/>
      <c r="DU963" s="17"/>
      <c r="DV963" s="17"/>
      <c r="DW963" s="17"/>
    </row>
    <row r="964" spans="1:127" ht="18" customHeight="1">
      <c r="A964" s="16"/>
      <c r="B964" s="16"/>
      <c r="C964" s="16"/>
      <c r="D964" s="16"/>
      <c r="E964" s="16"/>
      <c r="F964" s="16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  <c r="CR964" s="17"/>
      <c r="CS964" s="17"/>
      <c r="CT964" s="17"/>
      <c r="CU964" s="17"/>
      <c r="CV964" s="17"/>
      <c r="CW964" s="17"/>
      <c r="CX964" s="17"/>
      <c r="CY964" s="17"/>
      <c r="CZ964" s="17"/>
      <c r="DA964" s="17"/>
      <c r="DB964" s="17"/>
      <c r="DC964" s="17"/>
      <c r="DD964" s="17"/>
      <c r="DE964" s="17"/>
      <c r="DF964" s="17"/>
      <c r="DG964" s="17"/>
      <c r="DH964" s="17"/>
      <c r="DI964" s="17"/>
      <c r="DJ964" s="17"/>
      <c r="DK964" s="17"/>
      <c r="DL964" s="17"/>
      <c r="DM964" s="17"/>
      <c r="DN964" s="17"/>
      <c r="DO964" s="17"/>
      <c r="DP964" s="17"/>
      <c r="DQ964" s="17"/>
      <c r="DR964" s="17"/>
      <c r="DS964" s="17"/>
      <c r="DT964" s="17"/>
      <c r="DU964" s="17"/>
      <c r="DV964" s="17"/>
      <c r="DW964" s="17"/>
    </row>
    <row r="965" spans="1:127" ht="18" customHeight="1">
      <c r="A965" s="16"/>
      <c r="B965" s="16"/>
      <c r="C965" s="16"/>
      <c r="D965" s="16"/>
      <c r="E965" s="16"/>
      <c r="F965" s="16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  <c r="CR965" s="17"/>
      <c r="CS965" s="17"/>
      <c r="CT965" s="17"/>
      <c r="CU965" s="17"/>
      <c r="CV965" s="17"/>
      <c r="CW965" s="17"/>
      <c r="CX965" s="17"/>
      <c r="CY965" s="17"/>
      <c r="CZ965" s="17"/>
      <c r="DA965" s="17"/>
      <c r="DB965" s="17"/>
      <c r="DC965" s="17"/>
      <c r="DD965" s="17"/>
      <c r="DE965" s="17"/>
      <c r="DF965" s="17"/>
      <c r="DG965" s="17"/>
      <c r="DH965" s="17"/>
      <c r="DI965" s="17"/>
      <c r="DJ965" s="17"/>
      <c r="DK965" s="17"/>
      <c r="DL965" s="17"/>
      <c r="DM965" s="17"/>
      <c r="DN965" s="17"/>
      <c r="DO965" s="17"/>
      <c r="DP965" s="17"/>
      <c r="DQ965" s="17"/>
      <c r="DR965" s="17"/>
      <c r="DS965" s="17"/>
      <c r="DT965" s="17"/>
      <c r="DU965" s="17"/>
      <c r="DV965" s="17"/>
      <c r="DW965" s="17"/>
    </row>
    <row r="966" spans="1:127" ht="18" customHeight="1">
      <c r="A966" s="16"/>
      <c r="B966" s="16"/>
      <c r="C966" s="16"/>
      <c r="D966" s="16"/>
      <c r="E966" s="16"/>
      <c r="F966" s="16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  <c r="CR966" s="17"/>
      <c r="CS966" s="17"/>
      <c r="CT966" s="17"/>
      <c r="CU966" s="17"/>
      <c r="CV966" s="17"/>
      <c r="CW966" s="17"/>
      <c r="CX966" s="17"/>
      <c r="CY966" s="17"/>
      <c r="CZ966" s="17"/>
      <c r="DA966" s="17"/>
      <c r="DB966" s="17"/>
      <c r="DC966" s="17"/>
      <c r="DD966" s="17"/>
      <c r="DE966" s="17"/>
      <c r="DF966" s="17"/>
      <c r="DG966" s="17"/>
      <c r="DH966" s="17"/>
      <c r="DI966" s="17"/>
      <c r="DJ966" s="17"/>
      <c r="DK966" s="17"/>
      <c r="DL966" s="17"/>
      <c r="DM966" s="17"/>
      <c r="DN966" s="17"/>
      <c r="DO966" s="17"/>
      <c r="DP966" s="17"/>
      <c r="DQ966" s="17"/>
      <c r="DR966" s="17"/>
      <c r="DS966" s="17"/>
      <c r="DT966" s="17"/>
      <c r="DU966" s="17"/>
      <c r="DV966" s="17"/>
      <c r="DW966" s="17"/>
    </row>
    <row r="967" spans="1:127" ht="18" customHeight="1">
      <c r="A967" s="16"/>
      <c r="B967" s="16"/>
      <c r="C967" s="16"/>
      <c r="D967" s="16"/>
      <c r="E967" s="16"/>
      <c r="F967" s="16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  <c r="BK967" s="17"/>
      <c r="BL967" s="17"/>
      <c r="BM967" s="17"/>
      <c r="BN967" s="17"/>
      <c r="BO967" s="17"/>
      <c r="BP967" s="17"/>
      <c r="BQ967" s="17"/>
      <c r="BR967" s="17"/>
      <c r="BS967" s="17"/>
      <c r="BT967" s="17"/>
      <c r="BU967" s="17"/>
      <c r="BV967" s="17"/>
      <c r="BW967" s="17"/>
      <c r="BX967" s="17"/>
      <c r="BY967" s="17"/>
      <c r="BZ967" s="17"/>
      <c r="CA967" s="17"/>
      <c r="CB967" s="17"/>
      <c r="CC967" s="17"/>
      <c r="CD967" s="17"/>
      <c r="CE967" s="17"/>
      <c r="CF967" s="17"/>
      <c r="CG967" s="17"/>
      <c r="CH967" s="17"/>
      <c r="CI967" s="17"/>
      <c r="CJ967" s="17"/>
      <c r="CK967" s="17"/>
      <c r="CL967" s="17"/>
      <c r="CM967" s="17"/>
      <c r="CN967" s="17"/>
      <c r="CO967" s="17"/>
      <c r="CP967" s="17"/>
      <c r="CQ967" s="17"/>
      <c r="CR967" s="17"/>
      <c r="CS967" s="17"/>
      <c r="CT967" s="17"/>
      <c r="CU967" s="17"/>
      <c r="CV967" s="17"/>
      <c r="CW967" s="17"/>
      <c r="CX967" s="17"/>
      <c r="CY967" s="17"/>
      <c r="CZ967" s="17"/>
      <c r="DA967" s="17"/>
      <c r="DB967" s="17"/>
      <c r="DC967" s="17"/>
      <c r="DD967" s="17"/>
      <c r="DE967" s="17"/>
      <c r="DF967" s="17"/>
      <c r="DG967" s="17"/>
      <c r="DH967" s="17"/>
      <c r="DI967" s="17"/>
      <c r="DJ967" s="17"/>
      <c r="DK967" s="17"/>
      <c r="DL967" s="17"/>
      <c r="DM967" s="17"/>
      <c r="DN967" s="17"/>
      <c r="DO967" s="17"/>
      <c r="DP967" s="17"/>
      <c r="DQ967" s="17"/>
      <c r="DR967" s="17"/>
      <c r="DS967" s="17"/>
      <c r="DT967" s="17"/>
      <c r="DU967" s="17"/>
      <c r="DV967" s="17"/>
      <c r="DW967" s="17"/>
    </row>
    <row r="968" spans="1:127" ht="18" customHeight="1">
      <c r="A968" s="16"/>
      <c r="B968" s="16"/>
      <c r="C968" s="16"/>
      <c r="D968" s="16"/>
      <c r="E968" s="16"/>
      <c r="F968" s="16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  <c r="CR968" s="17"/>
      <c r="CS968" s="17"/>
      <c r="CT968" s="17"/>
      <c r="CU968" s="17"/>
      <c r="CV968" s="17"/>
      <c r="CW968" s="17"/>
      <c r="CX968" s="17"/>
      <c r="CY968" s="17"/>
      <c r="CZ968" s="17"/>
      <c r="DA968" s="17"/>
      <c r="DB968" s="17"/>
      <c r="DC968" s="17"/>
      <c r="DD968" s="17"/>
      <c r="DE968" s="17"/>
      <c r="DF968" s="17"/>
      <c r="DG968" s="17"/>
      <c r="DH968" s="17"/>
      <c r="DI968" s="17"/>
      <c r="DJ968" s="17"/>
      <c r="DK968" s="17"/>
      <c r="DL968" s="17"/>
      <c r="DM968" s="17"/>
      <c r="DN968" s="17"/>
      <c r="DO968" s="17"/>
      <c r="DP968" s="17"/>
      <c r="DQ968" s="17"/>
      <c r="DR968" s="17"/>
      <c r="DS968" s="17"/>
      <c r="DT968" s="17"/>
      <c r="DU968" s="17"/>
      <c r="DV968" s="17"/>
      <c r="DW968" s="17"/>
    </row>
    <row r="969" spans="1:127" ht="18" customHeight="1">
      <c r="A969" s="16"/>
      <c r="B969" s="16"/>
      <c r="C969" s="16"/>
      <c r="D969" s="16"/>
      <c r="E969" s="16"/>
      <c r="F969" s="16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  <c r="BK969" s="17"/>
      <c r="BL969" s="17"/>
      <c r="BM969" s="17"/>
      <c r="BN969" s="17"/>
      <c r="BO969" s="17"/>
      <c r="BP969" s="17"/>
      <c r="BQ969" s="17"/>
      <c r="BR969" s="17"/>
      <c r="BS969" s="17"/>
      <c r="BT969" s="17"/>
      <c r="BU969" s="17"/>
      <c r="BV969" s="17"/>
      <c r="BW969" s="17"/>
      <c r="BX969" s="17"/>
      <c r="BY969" s="17"/>
      <c r="BZ969" s="17"/>
      <c r="CA969" s="17"/>
      <c r="CB969" s="17"/>
      <c r="CC969" s="17"/>
      <c r="CD969" s="17"/>
      <c r="CE969" s="17"/>
      <c r="CF969" s="17"/>
      <c r="CG969" s="17"/>
      <c r="CH969" s="17"/>
      <c r="CI969" s="17"/>
      <c r="CJ969" s="17"/>
      <c r="CK969" s="17"/>
      <c r="CL969" s="17"/>
      <c r="CM969" s="17"/>
      <c r="CN969" s="17"/>
      <c r="CO969" s="17"/>
      <c r="CP969" s="17"/>
      <c r="CQ969" s="17"/>
      <c r="CR969" s="17"/>
      <c r="CS969" s="17"/>
      <c r="CT969" s="17"/>
      <c r="CU969" s="17"/>
      <c r="CV969" s="17"/>
      <c r="CW969" s="17"/>
      <c r="CX969" s="17"/>
      <c r="CY969" s="17"/>
      <c r="CZ969" s="17"/>
      <c r="DA969" s="17"/>
      <c r="DB969" s="17"/>
      <c r="DC969" s="17"/>
      <c r="DD969" s="17"/>
      <c r="DE969" s="17"/>
      <c r="DF969" s="17"/>
      <c r="DG969" s="17"/>
      <c r="DH969" s="17"/>
      <c r="DI969" s="17"/>
      <c r="DJ969" s="17"/>
      <c r="DK969" s="17"/>
      <c r="DL969" s="17"/>
      <c r="DM969" s="17"/>
      <c r="DN969" s="17"/>
      <c r="DO969" s="17"/>
      <c r="DP969" s="17"/>
      <c r="DQ969" s="17"/>
      <c r="DR969" s="17"/>
      <c r="DS969" s="17"/>
      <c r="DT969" s="17"/>
      <c r="DU969" s="17"/>
      <c r="DV969" s="17"/>
      <c r="DW969" s="17"/>
    </row>
    <row r="970" spans="1:127" ht="18" customHeight="1">
      <c r="A970" s="16"/>
      <c r="B970" s="16"/>
      <c r="C970" s="16"/>
      <c r="D970" s="16"/>
      <c r="E970" s="16"/>
      <c r="F970" s="16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  <c r="BK970" s="17"/>
      <c r="BL970" s="17"/>
      <c r="BM970" s="17"/>
      <c r="BN970" s="17"/>
      <c r="BO970" s="17"/>
      <c r="BP970" s="17"/>
      <c r="BQ970" s="17"/>
      <c r="BR970" s="17"/>
      <c r="BS970" s="17"/>
      <c r="BT970" s="17"/>
      <c r="BU970" s="17"/>
      <c r="BV970" s="17"/>
      <c r="BW970" s="17"/>
      <c r="BX970" s="17"/>
      <c r="BY970" s="17"/>
      <c r="BZ970" s="17"/>
      <c r="CA970" s="17"/>
      <c r="CB970" s="17"/>
      <c r="CC970" s="17"/>
      <c r="CD970" s="17"/>
      <c r="CE970" s="17"/>
      <c r="CF970" s="17"/>
      <c r="CG970" s="17"/>
      <c r="CH970" s="17"/>
      <c r="CI970" s="17"/>
      <c r="CJ970" s="17"/>
      <c r="CK970" s="17"/>
      <c r="CL970" s="17"/>
      <c r="CM970" s="17"/>
      <c r="CN970" s="17"/>
      <c r="CO970" s="17"/>
      <c r="CP970" s="17"/>
      <c r="CQ970" s="17"/>
      <c r="CR970" s="17"/>
      <c r="CS970" s="17"/>
      <c r="CT970" s="17"/>
      <c r="CU970" s="17"/>
      <c r="CV970" s="17"/>
      <c r="CW970" s="17"/>
      <c r="CX970" s="17"/>
      <c r="CY970" s="17"/>
      <c r="CZ970" s="17"/>
      <c r="DA970" s="17"/>
      <c r="DB970" s="17"/>
      <c r="DC970" s="17"/>
      <c r="DD970" s="17"/>
      <c r="DE970" s="17"/>
      <c r="DF970" s="17"/>
      <c r="DG970" s="17"/>
      <c r="DH970" s="17"/>
      <c r="DI970" s="17"/>
      <c r="DJ970" s="17"/>
      <c r="DK970" s="17"/>
      <c r="DL970" s="17"/>
      <c r="DM970" s="17"/>
      <c r="DN970" s="17"/>
      <c r="DO970" s="17"/>
      <c r="DP970" s="17"/>
      <c r="DQ970" s="17"/>
      <c r="DR970" s="17"/>
      <c r="DS970" s="17"/>
      <c r="DT970" s="17"/>
      <c r="DU970" s="17"/>
      <c r="DV970" s="17"/>
      <c r="DW970" s="17"/>
    </row>
    <row r="971" spans="1:127" ht="18" customHeight="1">
      <c r="A971" s="16"/>
      <c r="B971" s="16"/>
      <c r="C971" s="16"/>
      <c r="D971" s="16"/>
      <c r="E971" s="16"/>
      <c r="F971" s="16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  <c r="CL971" s="17"/>
      <c r="CM971" s="17"/>
      <c r="CN971" s="17"/>
      <c r="CO971" s="17"/>
      <c r="CP971" s="17"/>
      <c r="CQ971" s="17"/>
      <c r="CR971" s="17"/>
      <c r="CS971" s="17"/>
      <c r="CT971" s="17"/>
      <c r="CU971" s="17"/>
      <c r="CV971" s="17"/>
      <c r="CW971" s="17"/>
      <c r="CX971" s="17"/>
      <c r="CY971" s="17"/>
      <c r="CZ971" s="17"/>
      <c r="DA971" s="17"/>
      <c r="DB971" s="17"/>
      <c r="DC971" s="17"/>
      <c r="DD971" s="17"/>
      <c r="DE971" s="17"/>
      <c r="DF971" s="17"/>
      <c r="DG971" s="17"/>
      <c r="DH971" s="17"/>
      <c r="DI971" s="17"/>
      <c r="DJ971" s="17"/>
      <c r="DK971" s="17"/>
      <c r="DL971" s="17"/>
      <c r="DM971" s="17"/>
      <c r="DN971" s="17"/>
      <c r="DO971" s="17"/>
      <c r="DP971" s="17"/>
      <c r="DQ971" s="17"/>
      <c r="DR971" s="17"/>
      <c r="DS971" s="17"/>
      <c r="DT971" s="17"/>
      <c r="DU971" s="17"/>
      <c r="DV971" s="17"/>
      <c r="DW971" s="17"/>
    </row>
    <row r="972" spans="1:127" ht="18" customHeight="1">
      <c r="A972" s="16"/>
      <c r="B972" s="16"/>
      <c r="C972" s="16"/>
      <c r="D972" s="16"/>
      <c r="E972" s="16"/>
      <c r="F972" s="16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  <c r="CL972" s="17"/>
      <c r="CM972" s="17"/>
      <c r="CN972" s="17"/>
      <c r="CO972" s="17"/>
      <c r="CP972" s="17"/>
      <c r="CQ972" s="17"/>
      <c r="CR972" s="17"/>
      <c r="CS972" s="17"/>
      <c r="CT972" s="17"/>
      <c r="CU972" s="17"/>
      <c r="CV972" s="17"/>
      <c r="CW972" s="17"/>
      <c r="CX972" s="17"/>
      <c r="CY972" s="17"/>
      <c r="CZ972" s="17"/>
      <c r="DA972" s="17"/>
      <c r="DB972" s="17"/>
      <c r="DC972" s="17"/>
      <c r="DD972" s="17"/>
      <c r="DE972" s="17"/>
      <c r="DF972" s="17"/>
      <c r="DG972" s="17"/>
      <c r="DH972" s="17"/>
      <c r="DI972" s="17"/>
      <c r="DJ972" s="17"/>
      <c r="DK972" s="17"/>
      <c r="DL972" s="17"/>
      <c r="DM972" s="17"/>
      <c r="DN972" s="17"/>
      <c r="DO972" s="17"/>
      <c r="DP972" s="17"/>
      <c r="DQ972" s="17"/>
      <c r="DR972" s="17"/>
      <c r="DS972" s="17"/>
      <c r="DT972" s="17"/>
      <c r="DU972" s="17"/>
      <c r="DV972" s="17"/>
      <c r="DW972" s="17"/>
    </row>
    <row r="973" spans="1:127" ht="18" customHeight="1">
      <c r="A973" s="16"/>
      <c r="B973" s="16"/>
      <c r="C973" s="16"/>
      <c r="D973" s="16"/>
      <c r="E973" s="16"/>
      <c r="F973" s="16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  <c r="CR973" s="17"/>
      <c r="CS973" s="17"/>
      <c r="CT973" s="17"/>
      <c r="CU973" s="17"/>
      <c r="CV973" s="17"/>
      <c r="CW973" s="17"/>
      <c r="CX973" s="17"/>
      <c r="CY973" s="17"/>
      <c r="CZ973" s="17"/>
      <c r="DA973" s="17"/>
      <c r="DB973" s="17"/>
      <c r="DC973" s="17"/>
      <c r="DD973" s="17"/>
      <c r="DE973" s="17"/>
      <c r="DF973" s="17"/>
      <c r="DG973" s="17"/>
      <c r="DH973" s="17"/>
      <c r="DI973" s="17"/>
      <c r="DJ973" s="17"/>
      <c r="DK973" s="17"/>
      <c r="DL973" s="17"/>
      <c r="DM973" s="17"/>
      <c r="DN973" s="17"/>
      <c r="DO973" s="17"/>
      <c r="DP973" s="17"/>
      <c r="DQ973" s="17"/>
      <c r="DR973" s="17"/>
      <c r="DS973" s="17"/>
      <c r="DT973" s="17"/>
      <c r="DU973" s="17"/>
      <c r="DV973" s="17"/>
      <c r="DW973" s="17"/>
    </row>
    <row r="974" spans="1:127" ht="18" customHeight="1">
      <c r="A974" s="16"/>
      <c r="B974" s="16"/>
      <c r="C974" s="16"/>
      <c r="D974" s="16"/>
      <c r="E974" s="16"/>
      <c r="F974" s="16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  <c r="CL974" s="17"/>
      <c r="CM974" s="17"/>
      <c r="CN974" s="17"/>
      <c r="CO974" s="17"/>
      <c r="CP974" s="17"/>
      <c r="CQ974" s="17"/>
      <c r="CR974" s="17"/>
      <c r="CS974" s="17"/>
      <c r="CT974" s="17"/>
      <c r="CU974" s="17"/>
      <c r="CV974" s="17"/>
      <c r="CW974" s="17"/>
      <c r="CX974" s="17"/>
      <c r="CY974" s="17"/>
      <c r="CZ974" s="17"/>
      <c r="DA974" s="17"/>
      <c r="DB974" s="17"/>
      <c r="DC974" s="17"/>
      <c r="DD974" s="17"/>
      <c r="DE974" s="17"/>
      <c r="DF974" s="17"/>
      <c r="DG974" s="17"/>
      <c r="DH974" s="17"/>
      <c r="DI974" s="17"/>
      <c r="DJ974" s="17"/>
      <c r="DK974" s="17"/>
      <c r="DL974" s="17"/>
      <c r="DM974" s="17"/>
      <c r="DN974" s="17"/>
      <c r="DO974" s="17"/>
      <c r="DP974" s="17"/>
      <c r="DQ974" s="17"/>
      <c r="DR974" s="17"/>
      <c r="DS974" s="17"/>
      <c r="DT974" s="17"/>
      <c r="DU974" s="17"/>
      <c r="DV974" s="17"/>
      <c r="DW974" s="17"/>
    </row>
    <row r="975" spans="1:127" ht="18" customHeight="1">
      <c r="A975" s="16"/>
      <c r="B975" s="16"/>
      <c r="C975" s="16"/>
      <c r="D975" s="16"/>
      <c r="E975" s="16"/>
      <c r="F975" s="16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  <c r="CL975" s="17"/>
      <c r="CM975" s="17"/>
      <c r="CN975" s="17"/>
      <c r="CO975" s="17"/>
      <c r="CP975" s="17"/>
      <c r="CQ975" s="17"/>
      <c r="CR975" s="17"/>
      <c r="CS975" s="17"/>
      <c r="CT975" s="17"/>
      <c r="CU975" s="17"/>
      <c r="CV975" s="17"/>
      <c r="CW975" s="17"/>
      <c r="CX975" s="17"/>
      <c r="CY975" s="17"/>
      <c r="CZ975" s="17"/>
      <c r="DA975" s="17"/>
      <c r="DB975" s="17"/>
      <c r="DC975" s="17"/>
      <c r="DD975" s="17"/>
      <c r="DE975" s="17"/>
      <c r="DF975" s="17"/>
      <c r="DG975" s="17"/>
      <c r="DH975" s="17"/>
      <c r="DI975" s="17"/>
      <c r="DJ975" s="17"/>
      <c r="DK975" s="17"/>
      <c r="DL975" s="17"/>
      <c r="DM975" s="17"/>
      <c r="DN975" s="17"/>
      <c r="DO975" s="17"/>
      <c r="DP975" s="17"/>
      <c r="DQ975" s="17"/>
      <c r="DR975" s="17"/>
      <c r="DS975" s="17"/>
      <c r="DT975" s="17"/>
      <c r="DU975" s="17"/>
      <c r="DV975" s="17"/>
      <c r="DW975" s="17"/>
    </row>
    <row r="976" spans="1:127" ht="18" customHeight="1">
      <c r="A976" s="16"/>
      <c r="B976" s="16"/>
      <c r="C976" s="16"/>
      <c r="D976" s="16"/>
      <c r="E976" s="16"/>
      <c r="F976" s="16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  <c r="BK976" s="17"/>
      <c r="BL976" s="17"/>
      <c r="BM976" s="17"/>
      <c r="BN976" s="17"/>
      <c r="BO976" s="17"/>
      <c r="BP976" s="17"/>
      <c r="BQ976" s="17"/>
      <c r="BR976" s="17"/>
      <c r="BS976" s="17"/>
      <c r="BT976" s="17"/>
      <c r="BU976" s="17"/>
      <c r="BV976" s="17"/>
      <c r="BW976" s="17"/>
      <c r="BX976" s="17"/>
      <c r="BY976" s="17"/>
      <c r="BZ976" s="17"/>
      <c r="CA976" s="17"/>
      <c r="CB976" s="17"/>
      <c r="CC976" s="17"/>
      <c r="CD976" s="17"/>
      <c r="CE976" s="17"/>
      <c r="CF976" s="17"/>
      <c r="CG976" s="17"/>
      <c r="CH976" s="17"/>
      <c r="CI976" s="17"/>
      <c r="CJ976" s="17"/>
      <c r="CK976" s="17"/>
      <c r="CL976" s="17"/>
      <c r="CM976" s="17"/>
      <c r="CN976" s="17"/>
      <c r="CO976" s="17"/>
      <c r="CP976" s="17"/>
      <c r="CQ976" s="17"/>
      <c r="CR976" s="17"/>
      <c r="CS976" s="17"/>
      <c r="CT976" s="17"/>
      <c r="CU976" s="17"/>
      <c r="CV976" s="17"/>
      <c r="CW976" s="17"/>
      <c r="CX976" s="17"/>
      <c r="CY976" s="17"/>
      <c r="CZ976" s="17"/>
      <c r="DA976" s="17"/>
      <c r="DB976" s="17"/>
      <c r="DC976" s="17"/>
      <c r="DD976" s="17"/>
      <c r="DE976" s="17"/>
      <c r="DF976" s="17"/>
      <c r="DG976" s="17"/>
      <c r="DH976" s="17"/>
      <c r="DI976" s="17"/>
      <c r="DJ976" s="17"/>
      <c r="DK976" s="17"/>
      <c r="DL976" s="17"/>
      <c r="DM976" s="17"/>
      <c r="DN976" s="17"/>
      <c r="DO976" s="17"/>
      <c r="DP976" s="17"/>
      <c r="DQ976" s="17"/>
      <c r="DR976" s="17"/>
      <c r="DS976" s="17"/>
      <c r="DT976" s="17"/>
      <c r="DU976" s="17"/>
      <c r="DV976" s="17"/>
      <c r="DW976" s="17"/>
    </row>
    <row r="977" spans="1:127" ht="18" customHeight="1">
      <c r="A977" s="16"/>
      <c r="B977" s="16"/>
      <c r="C977" s="16"/>
      <c r="D977" s="16"/>
      <c r="E977" s="16"/>
      <c r="F977" s="16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  <c r="BK977" s="17"/>
      <c r="BL977" s="17"/>
      <c r="BM977" s="17"/>
      <c r="BN977" s="17"/>
      <c r="BO977" s="17"/>
      <c r="BP977" s="17"/>
      <c r="BQ977" s="17"/>
      <c r="BR977" s="17"/>
      <c r="BS977" s="17"/>
      <c r="BT977" s="17"/>
      <c r="BU977" s="17"/>
      <c r="BV977" s="17"/>
      <c r="BW977" s="17"/>
      <c r="BX977" s="17"/>
      <c r="BY977" s="17"/>
      <c r="BZ977" s="17"/>
      <c r="CA977" s="17"/>
      <c r="CB977" s="17"/>
      <c r="CC977" s="17"/>
      <c r="CD977" s="17"/>
      <c r="CE977" s="17"/>
      <c r="CF977" s="17"/>
      <c r="CG977" s="17"/>
      <c r="CH977" s="17"/>
      <c r="CI977" s="17"/>
      <c r="CJ977" s="17"/>
      <c r="CK977" s="17"/>
      <c r="CL977" s="17"/>
      <c r="CM977" s="17"/>
      <c r="CN977" s="17"/>
      <c r="CO977" s="17"/>
      <c r="CP977" s="17"/>
      <c r="CQ977" s="17"/>
      <c r="CR977" s="17"/>
      <c r="CS977" s="17"/>
      <c r="CT977" s="17"/>
      <c r="CU977" s="17"/>
      <c r="CV977" s="17"/>
      <c r="CW977" s="17"/>
      <c r="CX977" s="17"/>
      <c r="CY977" s="17"/>
      <c r="CZ977" s="17"/>
      <c r="DA977" s="17"/>
      <c r="DB977" s="17"/>
      <c r="DC977" s="17"/>
      <c r="DD977" s="17"/>
      <c r="DE977" s="17"/>
      <c r="DF977" s="17"/>
      <c r="DG977" s="17"/>
      <c r="DH977" s="17"/>
      <c r="DI977" s="17"/>
      <c r="DJ977" s="17"/>
      <c r="DK977" s="17"/>
      <c r="DL977" s="17"/>
      <c r="DM977" s="17"/>
      <c r="DN977" s="17"/>
      <c r="DO977" s="17"/>
      <c r="DP977" s="17"/>
      <c r="DQ977" s="17"/>
      <c r="DR977" s="17"/>
      <c r="DS977" s="17"/>
      <c r="DT977" s="17"/>
      <c r="DU977" s="17"/>
      <c r="DV977" s="17"/>
      <c r="DW977" s="17"/>
    </row>
    <row r="978" spans="1:127" ht="18" customHeight="1">
      <c r="A978" s="16"/>
      <c r="B978" s="16"/>
      <c r="C978" s="16"/>
      <c r="D978" s="16"/>
      <c r="E978" s="16"/>
      <c r="F978" s="16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  <c r="BK978" s="17"/>
      <c r="BL978" s="17"/>
      <c r="BM978" s="17"/>
      <c r="BN978" s="17"/>
      <c r="BO978" s="17"/>
      <c r="BP978" s="17"/>
      <c r="BQ978" s="17"/>
      <c r="BR978" s="17"/>
      <c r="BS978" s="17"/>
      <c r="BT978" s="17"/>
      <c r="BU978" s="17"/>
      <c r="BV978" s="17"/>
      <c r="BW978" s="17"/>
      <c r="BX978" s="17"/>
      <c r="BY978" s="17"/>
      <c r="BZ978" s="17"/>
      <c r="CA978" s="17"/>
      <c r="CB978" s="17"/>
      <c r="CC978" s="17"/>
      <c r="CD978" s="17"/>
      <c r="CE978" s="17"/>
      <c r="CF978" s="17"/>
      <c r="CG978" s="17"/>
      <c r="CH978" s="17"/>
      <c r="CI978" s="17"/>
      <c r="CJ978" s="17"/>
      <c r="CK978" s="17"/>
      <c r="CL978" s="17"/>
      <c r="CM978" s="17"/>
      <c r="CN978" s="17"/>
      <c r="CO978" s="17"/>
      <c r="CP978" s="17"/>
      <c r="CQ978" s="17"/>
      <c r="CR978" s="17"/>
      <c r="CS978" s="17"/>
      <c r="CT978" s="17"/>
      <c r="CU978" s="17"/>
      <c r="CV978" s="17"/>
      <c r="CW978" s="17"/>
      <c r="CX978" s="17"/>
      <c r="CY978" s="17"/>
      <c r="CZ978" s="17"/>
      <c r="DA978" s="17"/>
      <c r="DB978" s="17"/>
      <c r="DC978" s="17"/>
      <c r="DD978" s="17"/>
      <c r="DE978" s="17"/>
      <c r="DF978" s="17"/>
      <c r="DG978" s="17"/>
      <c r="DH978" s="17"/>
      <c r="DI978" s="17"/>
      <c r="DJ978" s="17"/>
      <c r="DK978" s="17"/>
      <c r="DL978" s="17"/>
      <c r="DM978" s="17"/>
      <c r="DN978" s="17"/>
      <c r="DO978" s="17"/>
      <c r="DP978" s="17"/>
      <c r="DQ978" s="17"/>
      <c r="DR978" s="17"/>
      <c r="DS978" s="17"/>
      <c r="DT978" s="17"/>
      <c r="DU978" s="17"/>
      <c r="DV978" s="17"/>
      <c r="DW978" s="17"/>
    </row>
    <row r="979" spans="1:127" ht="18" customHeight="1">
      <c r="A979" s="16"/>
      <c r="B979" s="16"/>
      <c r="C979" s="16"/>
      <c r="D979" s="16"/>
      <c r="E979" s="16"/>
      <c r="F979" s="16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  <c r="BK979" s="17"/>
      <c r="BL979" s="17"/>
      <c r="BM979" s="17"/>
      <c r="BN979" s="17"/>
      <c r="BO979" s="17"/>
      <c r="BP979" s="17"/>
      <c r="BQ979" s="17"/>
      <c r="BR979" s="17"/>
      <c r="BS979" s="17"/>
      <c r="BT979" s="17"/>
      <c r="BU979" s="17"/>
      <c r="BV979" s="17"/>
      <c r="BW979" s="17"/>
      <c r="BX979" s="17"/>
      <c r="BY979" s="17"/>
      <c r="BZ979" s="17"/>
      <c r="CA979" s="17"/>
      <c r="CB979" s="17"/>
      <c r="CC979" s="17"/>
      <c r="CD979" s="17"/>
      <c r="CE979" s="17"/>
      <c r="CF979" s="17"/>
      <c r="CG979" s="17"/>
      <c r="CH979" s="17"/>
      <c r="CI979" s="17"/>
      <c r="CJ979" s="17"/>
      <c r="CK979" s="17"/>
      <c r="CL979" s="17"/>
      <c r="CM979" s="17"/>
      <c r="CN979" s="17"/>
      <c r="CO979" s="17"/>
      <c r="CP979" s="17"/>
      <c r="CQ979" s="17"/>
      <c r="CR979" s="17"/>
      <c r="CS979" s="17"/>
      <c r="CT979" s="17"/>
      <c r="CU979" s="17"/>
      <c r="CV979" s="17"/>
      <c r="CW979" s="17"/>
      <c r="CX979" s="17"/>
      <c r="CY979" s="17"/>
      <c r="CZ979" s="17"/>
      <c r="DA979" s="17"/>
      <c r="DB979" s="17"/>
      <c r="DC979" s="17"/>
      <c r="DD979" s="17"/>
      <c r="DE979" s="17"/>
      <c r="DF979" s="17"/>
      <c r="DG979" s="17"/>
      <c r="DH979" s="17"/>
      <c r="DI979" s="17"/>
      <c r="DJ979" s="17"/>
      <c r="DK979" s="17"/>
      <c r="DL979" s="17"/>
      <c r="DM979" s="17"/>
      <c r="DN979" s="17"/>
      <c r="DO979" s="17"/>
      <c r="DP979" s="17"/>
      <c r="DQ979" s="17"/>
      <c r="DR979" s="17"/>
      <c r="DS979" s="17"/>
      <c r="DT979" s="17"/>
      <c r="DU979" s="17"/>
      <c r="DV979" s="17"/>
      <c r="DW979" s="17"/>
    </row>
    <row r="980" spans="1:127" ht="18" customHeight="1">
      <c r="A980" s="16"/>
      <c r="B980" s="16"/>
      <c r="C980" s="16"/>
      <c r="D980" s="16"/>
      <c r="E980" s="16"/>
      <c r="F980" s="16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  <c r="CR980" s="17"/>
      <c r="CS980" s="17"/>
      <c r="CT980" s="17"/>
      <c r="CU980" s="17"/>
      <c r="CV980" s="17"/>
      <c r="CW980" s="17"/>
      <c r="CX980" s="17"/>
      <c r="CY980" s="17"/>
      <c r="CZ980" s="17"/>
      <c r="DA980" s="17"/>
      <c r="DB980" s="17"/>
      <c r="DC980" s="17"/>
      <c r="DD980" s="17"/>
      <c r="DE980" s="17"/>
      <c r="DF980" s="17"/>
      <c r="DG980" s="17"/>
      <c r="DH980" s="17"/>
      <c r="DI980" s="17"/>
      <c r="DJ980" s="17"/>
      <c r="DK980" s="17"/>
      <c r="DL980" s="17"/>
      <c r="DM980" s="17"/>
      <c r="DN980" s="17"/>
      <c r="DO980" s="17"/>
      <c r="DP980" s="17"/>
      <c r="DQ980" s="17"/>
      <c r="DR980" s="17"/>
      <c r="DS980" s="17"/>
      <c r="DT980" s="17"/>
      <c r="DU980" s="17"/>
      <c r="DV980" s="17"/>
      <c r="DW980" s="17"/>
    </row>
    <row r="981" spans="1:127" ht="18" customHeight="1">
      <c r="A981" s="16"/>
      <c r="B981" s="16"/>
      <c r="C981" s="16"/>
      <c r="D981" s="16"/>
      <c r="E981" s="16"/>
      <c r="F981" s="16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  <c r="BK981" s="17"/>
      <c r="BL981" s="17"/>
      <c r="BM981" s="17"/>
      <c r="BN981" s="17"/>
      <c r="BO981" s="17"/>
      <c r="BP981" s="17"/>
      <c r="BQ981" s="17"/>
      <c r="BR981" s="17"/>
      <c r="BS981" s="17"/>
      <c r="BT981" s="17"/>
      <c r="BU981" s="17"/>
      <c r="BV981" s="17"/>
      <c r="BW981" s="17"/>
      <c r="BX981" s="17"/>
      <c r="BY981" s="17"/>
      <c r="BZ981" s="17"/>
      <c r="CA981" s="17"/>
      <c r="CB981" s="17"/>
      <c r="CC981" s="17"/>
      <c r="CD981" s="17"/>
      <c r="CE981" s="17"/>
      <c r="CF981" s="17"/>
      <c r="CG981" s="17"/>
      <c r="CH981" s="17"/>
      <c r="CI981" s="17"/>
      <c r="CJ981" s="17"/>
      <c r="CK981" s="17"/>
      <c r="CL981" s="17"/>
      <c r="CM981" s="17"/>
      <c r="CN981" s="17"/>
      <c r="CO981" s="17"/>
      <c r="CP981" s="17"/>
      <c r="CQ981" s="17"/>
      <c r="CR981" s="17"/>
      <c r="CS981" s="17"/>
      <c r="CT981" s="17"/>
      <c r="CU981" s="17"/>
      <c r="CV981" s="17"/>
      <c r="CW981" s="17"/>
      <c r="CX981" s="17"/>
      <c r="CY981" s="17"/>
      <c r="CZ981" s="17"/>
      <c r="DA981" s="17"/>
      <c r="DB981" s="17"/>
      <c r="DC981" s="17"/>
      <c r="DD981" s="17"/>
      <c r="DE981" s="17"/>
      <c r="DF981" s="17"/>
      <c r="DG981" s="17"/>
      <c r="DH981" s="17"/>
      <c r="DI981" s="17"/>
      <c r="DJ981" s="17"/>
      <c r="DK981" s="17"/>
      <c r="DL981" s="17"/>
      <c r="DM981" s="17"/>
      <c r="DN981" s="17"/>
      <c r="DO981" s="17"/>
      <c r="DP981" s="17"/>
      <c r="DQ981" s="17"/>
      <c r="DR981" s="17"/>
      <c r="DS981" s="17"/>
      <c r="DT981" s="17"/>
      <c r="DU981" s="17"/>
      <c r="DV981" s="17"/>
      <c r="DW981" s="17"/>
    </row>
    <row r="982" spans="1:127" ht="18" customHeight="1">
      <c r="A982" s="16"/>
      <c r="B982" s="16"/>
      <c r="C982" s="16"/>
      <c r="D982" s="16"/>
      <c r="E982" s="16"/>
      <c r="F982" s="16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  <c r="CL982" s="17"/>
      <c r="CM982" s="17"/>
      <c r="CN982" s="17"/>
      <c r="CO982" s="17"/>
      <c r="CP982" s="17"/>
      <c r="CQ982" s="17"/>
      <c r="CR982" s="17"/>
      <c r="CS982" s="17"/>
      <c r="CT982" s="17"/>
      <c r="CU982" s="17"/>
      <c r="CV982" s="17"/>
      <c r="CW982" s="17"/>
      <c r="CX982" s="17"/>
      <c r="CY982" s="17"/>
      <c r="CZ982" s="17"/>
      <c r="DA982" s="17"/>
      <c r="DB982" s="17"/>
      <c r="DC982" s="17"/>
      <c r="DD982" s="17"/>
      <c r="DE982" s="17"/>
      <c r="DF982" s="17"/>
      <c r="DG982" s="17"/>
      <c r="DH982" s="17"/>
      <c r="DI982" s="17"/>
      <c r="DJ982" s="17"/>
      <c r="DK982" s="17"/>
      <c r="DL982" s="17"/>
      <c r="DM982" s="17"/>
      <c r="DN982" s="17"/>
      <c r="DO982" s="17"/>
      <c r="DP982" s="17"/>
      <c r="DQ982" s="17"/>
      <c r="DR982" s="17"/>
      <c r="DS982" s="17"/>
      <c r="DT982" s="17"/>
      <c r="DU982" s="17"/>
      <c r="DV982" s="17"/>
      <c r="DW982" s="17"/>
    </row>
    <row r="983" spans="1:127" ht="18" customHeight="1">
      <c r="A983" s="16"/>
      <c r="B983" s="16"/>
      <c r="C983" s="16"/>
      <c r="D983" s="16"/>
      <c r="E983" s="16"/>
      <c r="F983" s="16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  <c r="BK983" s="17"/>
      <c r="BL983" s="17"/>
      <c r="BM983" s="17"/>
      <c r="BN983" s="17"/>
      <c r="BO983" s="17"/>
      <c r="BP983" s="17"/>
      <c r="BQ983" s="17"/>
      <c r="BR983" s="17"/>
      <c r="BS983" s="17"/>
      <c r="BT983" s="17"/>
      <c r="BU983" s="17"/>
      <c r="BV983" s="17"/>
      <c r="BW983" s="17"/>
      <c r="BX983" s="17"/>
      <c r="BY983" s="17"/>
      <c r="BZ983" s="17"/>
      <c r="CA983" s="17"/>
      <c r="CB983" s="17"/>
      <c r="CC983" s="17"/>
      <c r="CD983" s="17"/>
      <c r="CE983" s="17"/>
      <c r="CF983" s="17"/>
      <c r="CG983" s="17"/>
      <c r="CH983" s="17"/>
      <c r="CI983" s="17"/>
      <c r="CJ983" s="17"/>
      <c r="CK983" s="17"/>
      <c r="CL983" s="17"/>
      <c r="CM983" s="17"/>
      <c r="CN983" s="17"/>
      <c r="CO983" s="17"/>
      <c r="CP983" s="17"/>
      <c r="CQ983" s="17"/>
      <c r="CR983" s="17"/>
      <c r="CS983" s="17"/>
      <c r="CT983" s="17"/>
      <c r="CU983" s="17"/>
      <c r="CV983" s="17"/>
      <c r="CW983" s="17"/>
      <c r="CX983" s="17"/>
      <c r="CY983" s="17"/>
      <c r="CZ983" s="17"/>
      <c r="DA983" s="17"/>
      <c r="DB983" s="17"/>
      <c r="DC983" s="17"/>
      <c r="DD983" s="17"/>
      <c r="DE983" s="17"/>
      <c r="DF983" s="17"/>
      <c r="DG983" s="17"/>
      <c r="DH983" s="17"/>
      <c r="DI983" s="17"/>
      <c r="DJ983" s="17"/>
      <c r="DK983" s="17"/>
      <c r="DL983" s="17"/>
      <c r="DM983" s="17"/>
      <c r="DN983" s="17"/>
      <c r="DO983" s="17"/>
      <c r="DP983" s="17"/>
      <c r="DQ983" s="17"/>
      <c r="DR983" s="17"/>
      <c r="DS983" s="17"/>
      <c r="DT983" s="17"/>
      <c r="DU983" s="17"/>
      <c r="DV983" s="17"/>
      <c r="DW983" s="17"/>
    </row>
    <row r="984" spans="1:127" ht="18" customHeight="1">
      <c r="A984" s="16"/>
      <c r="B984" s="16"/>
      <c r="C984" s="16"/>
      <c r="D984" s="16"/>
      <c r="E984" s="16"/>
      <c r="F984" s="16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  <c r="CL984" s="17"/>
      <c r="CM984" s="17"/>
      <c r="CN984" s="17"/>
      <c r="CO984" s="17"/>
      <c r="CP984" s="17"/>
      <c r="CQ984" s="17"/>
      <c r="CR984" s="17"/>
      <c r="CS984" s="17"/>
      <c r="CT984" s="17"/>
      <c r="CU984" s="17"/>
      <c r="CV984" s="17"/>
      <c r="CW984" s="17"/>
      <c r="CX984" s="17"/>
      <c r="CY984" s="17"/>
      <c r="CZ984" s="17"/>
      <c r="DA984" s="17"/>
      <c r="DB984" s="17"/>
      <c r="DC984" s="17"/>
      <c r="DD984" s="17"/>
      <c r="DE984" s="17"/>
      <c r="DF984" s="17"/>
      <c r="DG984" s="17"/>
      <c r="DH984" s="17"/>
      <c r="DI984" s="17"/>
      <c r="DJ984" s="17"/>
      <c r="DK984" s="17"/>
      <c r="DL984" s="17"/>
      <c r="DM984" s="17"/>
      <c r="DN984" s="17"/>
      <c r="DO984" s="17"/>
      <c r="DP984" s="17"/>
      <c r="DQ984" s="17"/>
      <c r="DR984" s="17"/>
      <c r="DS984" s="17"/>
      <c r="DT984" s="17"/>
      <c r="DU984" s="17"/>
      <c r="DV984" s="17"/>
      <c r="DW984" s="17"/>
    </row>
    <row r="985" spans="1:127" ht="18" customHeight="1">
      <c r="A985" s="16"/>
      <c r="B985" s="16"/>
      <c r="C985" s="16"/>
      <c r="D985" s="16"/>
      <c r="E985" s="16"/>
      <c r="F985" s="16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  <c r="BK985" s="17"/>
      <c r="BL985" s="17"/>
      <c r="BM985" s="17"/>
      <c r="BN985" s="17"/>
      <c r="BO985" s="17"/>
      <c r="BP985" s="17"/>
      <c r="BQ985" s="17"/>
      <c r="BR985" s="17"/>
      <c r="BS985" s="17"/>
      <c r="BT985" s="17"/>
      <c r="BU985" s="17"/>
      <c r="BV985" s="17"/>
      <c r="BW985" s="17"/>
      <c r="BX985" s="17"/>
      <c r="BY985" s="17"/>
      <c r="BZ985" s="17"/>
      <c r="CA985" s="17"/>
      <c r="CB985" s="17"/>
      <c r="CC985" s="17"/>
      <c r="CD985" s="17"/>
      <c r="CE985" s="17"/>
      <c r="CF985" s="17"/>
      <c r="CG985" s="17"/>
      <c r="CH985" s="17"/>
      <c r="CI985" s="17"/>
      <c r="CJ985" s="17"/>
      <c r="CK985" s="17"/>
      <c r="CL985" s="17"/>
      <c r="CM985" s="17"/>
      <c r="CN985" s="17"/>
      <c r="CO985" s="17"/>
      <c r="CP985" s="17"/>
      <c r="CQ985" s="17"/>
      <c r="CR985" s="17"/>
      <c r="CS985" s="17"/>
      <c r="CT985" s="17"/>
      <c r="CU985" s="17"/>
      <c r="CV985" s="17"/>
      <c r="CW985" s="17"/>
      <c r="CX985" s="17"/>
      <c r="CY985" s="17"/>
      <c r="CZ985" s="17"/>
      <c r="DA985" s="17"/>
      <c r="DB985" s="17"/>
      <c r="DC985" s="17"/>
      <c r="DD985" s="17"/>
      <c r="DE985" s="17"/>
      <c r="DF985" s="17"/>
      <c r="DG985" s="17"/>
      <c r="DH985" s="17"/>
      <c r="DI985" s="17"/>
      <c r="DJ985" s="17"/>
      <c r="DK985" s="17"/>
      <c r="DL985" s="17"/>
      <c r="DM985" s="17"/>
      <c r="DN985" s="17"/>
      <c r="DO985" s="17"/>
      <c r="DP985" s="17"/>
      <c r="DQ985" s="17"/>
      <c r="DR985" s="17"/>
      <c r="DS985" s="17"/>
      <c r="DT985" s="17"/>
      <c r="DU985" s="17"/>
      <c r="DV985" s="17"/>
      <c r="DW985" s="17"/>
    </row>
    <row r="986" spans="1:127" ht="18" customHeight="1">
      <c r="A986" s="16"/>
      <c r="B986" s="16"/>
      <c r="C986" s="16"/>
      <c r="D986" s="16"/>
      <c r="E986" s="16"/>
      <c r="F986" s="16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  <c r="BK986" s="17"/>
      <c r="BL986" s="17"/>
      <c r="BM986" s="17"/>
      <c r="BN986" s="17"/>
      <c r="BO986" s="17"/>
      <c r="BP986" s="17"/>
      <c r="BQ986" s="17"/>
      <c r="BR986" s="17"/>
      <c r="BS986" s="17"/>
      <c r="BT986" s="17"/>
      <c r="BU986" s="17"/>
      <c r="BV986" s="17"/>
      <c r="BW986" s="17"/>
      <c r="BX986" s="17"/>
      <c r="BY986" s="17"/>
      <c r="BZ986" s="17"/>
      <c r="CA986" s="17"/>
      <c r="CB986" s="17"/>
      <c r="CC986" s="17"/>
      <c r="CD986" s="17"/>
      <c r="CE986" s="17"/>
      <c r="CF986" s="17"/>
      <c r="CG986" s="17"/>
      <c r="CH986" s="17"/>
      <c r="CI986" s="17"/>
      <c r="CJ986" s="17"/>
      <c r="CK986" s="17"/>
      <c r="CL986" s="17"/>
      <c r="CM986" s="17"/>
      <c r="CN986" s="17"/>
      <c r="CO986" s="17"/>
      <c r="CP986" s="17"/>
      <c r="CQ986" s="17"/>
      <c r="CR986" s="17"/>
      <c r="CS986" s="17"/>
      <c r="CT986" s="17"/>
      <c r="CU986" s="17"/>
      <c r="CV986" s="17"/>
      <c r="CW986" s="17"/>
      <c r="CX986" s="17"/>
      <c r="CY986" s="17"/>
      <c r="CZ986" s="17"/>
      <c r="DA986" s="17"/>
      <c r="DB986" s="17"/>
      <c r="DC986" s="17"/>
      <c r="DD986" s="17"/>
      <c r="DE986" s="17"/>
      <c r="DF986" s="17"/>
      <c r="DG986" s="17"/>
      <c r="DH986" s="17"/>
      <c r="DI986" s="17"/>
      <c r="DJ986" s="17"/>
      <c r="DK986" s="17"/>
      <c r="DL986" s="17"/>
      <c r="DM986" s="17"/>
      <c r="DN986" s="17"/>
      <c r="DO986" s="17"/>
      <c r="DP986" s="17"/>
      <c r="DQ986" s="17"/>
      <c r="DR986" s="17"/>
      <c r="DS986" s="17"/>
      <c r="DT986" s="17"/>
      <c r="DU986" s="17"/>
      <c r="DV986" s="17"/>
      <c r="DW986" s="17"/>
    </row>
    <row r="987" spans="1:127" ht="18" customHeight="1">
      <c r="A987" s="16"/>
      <c r="B987" s="16"/>
      <c r="C987" s="16"/>
      <c r="D987" s="16"/>
      <c r="E987" s="16"/>
      <c r="F987" s="16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  <c r="BK987" s="17"/>
      <c r="BL987" s="17"/>
      <c r="BM987" s="17"/>
      <c r="BN987" s="17"/>
      <c r="BO987" s="17"/>
      <c r="BP987" s="17"/>
      <c r="BQ987" s="17"/>
      <c r="BR987" s="17"/>
      <c r="BS987" s="17"/>
      <c r="BT987" s="17"/>
      <c r="BU987" s="17"/>
      <c r="BV987" s="17"/>
      <c r="BW987" s="17"/>
      <c r="BX987" s="17"/>
      <c r="BY987" s="17"/>
      <c r="BZ987" s="17"/>
      <c r="CA987" s="17"/>
      <c r="CB987" s="17"/>
      <c r="CC987" s="17"/>
      <c r="CD987" s="17"/>
      <c r="CE987" s="17"/>
      <c r="CF987" s="17"/>
      <c r="CG987" s="17"/>
      <c r="CH987" s="17"/>
      <c r="CI987" s="17"/>
      <c r="CJ987" s="17"/>
      <c r="CK987" s="17"/>
      <c r="CL987" s="17"/>
      <c r="CM987" s="17"/>
      <c r="CN987" s="17"/>
      <c r="CO987" s="17"/>
      <c r="CP987" s="17"/>
      <c r="CQ987" s="17"/>
      <c r="CR987" s="17"/>
      <c r="CS987" s="17"/>
      <c r="CT987" s="17"/>
      <c r="CU987" s="17"/>
      <c r="CV987" s="17"/>
      <c r="CW987" s="17"/>
      <c r="CX987" s="17"/>
      <c r="CY987" s="17"/>
      <c r="CZ987" s="17"/>
      <c r="DA987" s="17"/>
      <c r="DB987" s="17"/>
      <c r="DC987" s="17"/>
      <c r="DD987" s="17"/>
      <c r="DE987" s="17"/>
      <c r="DF987" s="17"/>
      <c r="DG987" s="17"/>
      <c r="DH987" s="17"/>
      <c r="DI987" s="17"/>
      <c r="DJ987" s="17"/>
      <c r="DK987" s="17"/>
      <c r="DL987" s="17"/>
      <c r="DM987" s="17"/>
      <c r="DN987" s="17"/>
      <c r="DO987" s="17"/>
      <c r="DP987" s="17"/>
      <c r="DQ987" s="17"/>
      <c r="DR987" s="17"/>
      <c r="DS987" s="17"/>
      <c r="DT987" s="17"/>
      <c r="DU987" s="17"/>
      <c r="DV987" s="17"/>
      <c r="DW987" s="17"/>
    </row>
    <row r="988" spans="1:127" ht="18" customHeight="1">
      <c r="A988" s="16"/>
      <c r="B988" s="16"/>
      <c r="C988" s="16"/>
      <c r="D988" s="16"/>
      <c r="E988" s="16"/>
      <c r="F988" s="16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  <c r="BK988" s="17"/>
      <c r="BL988" s="17"/>
      <c r="BM988" s="17"/>
      <c r="BN988" s="17"/>
      <c r="BO988" s="17"/>
      <c r="BP988" s="17"/>
      <c r="BQ988" s="17"/>
      <c r="BR988" s="17"/>
      <c r="BS988" s="17"/>
      <c r="BT988" s="17"/>
      <c r="BU988" s="17"/>
      <c r="BV988" s="17"/>
      <c r="BW988" s="17"/>
      <c r="BX988" s="17"/>
      <c r="BY988" s="17"/>
      <c r="BZ988" s="17"/>
      <c r="CA988" s="17"/>
      <c r="CB988" s="17"/>
      <c r="CC988" s="17"/>
      <c r="CD988" s="17"/>
      <c r="CE988" s="17"/>
      <c r="CF988" s="17"/>
      <c r="CG988" s="17"/>
      <c r="CH988" s="17"/>
      <c r="CI988" s="17"/>
      <c r="CJ988" s="17"/>
      <c r="CK988" s="17"/>
      <c r="CL988" s="17"/>
      <c r="CM988" s="17"/>
      <c r="CN988" s="17"/>
      <c r="CO988" s="17"/>
      <c r="CP988" s="17"/>
      <c r="CQ988" s="17"/>
      <c r="CR988" s="17"/>
      <c r="CS988" s="17"/>
      <c r="CT988" s="17"/>
      <c r="CU988" s="17"/>
      <c r="CV988" s="17"/>
      <c r="CW988" s="17"/>
      <c r="CX988" s="17"/>
      <c r="CY988" s="17"/>
      <c r="CZ988" s="17"/>
      <c r="DA988" s="17"/>
      <c r="DB988" s="17"/>
      <c r="DC988" s="17"/>
      <c r="DD988" s="17"/>
      <c r="DE988" s="17"/>
      <c r="DF988" s="17"/>
      <c r="DG988" s="17"/>
      <c r="DH988" s="17"/>
      <c r="DI988" s="17"/>
      <c r="DJ988" s="17"/>
      <c r="DK988" s="17"/>
      <c r="DL988" s="17"/>
      <c r="DM988" s="17"/>
      <c r="DN988" s="17"/>
      <c r="DO988" s="17"/>
      <c r="DP988" s="17"/>
      <c r="DQ988" s="17"/>
      <c r="DR988" s="17"/>
      <c r="DS988" s="17"/>
      <c r="DT988" s="17"/>
      <c r="DU988" s="17"/>
      <c r="DV988" s="17"/>
      <c r="DW988" s="17"/>
    </row>
    <row r="989" spans="1:127" ht="18" customHeight="1">
      <c r="A989" s="16"/>
      <c r="B989" s="16"/>
      <c r="C989" s="16"/>
      <c r="D989" s="16"/>
      <c r="E989" s="16"/>
      <c r="F989" s="16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17"/>
      <c r="CJ989" s="17"/>
      <c r="CK989" s="17"/>
      <c r="CL989" s="17"/>
      <c r="CM989" s="17"/>
      <c r="CN989" s="17"/>
      <c r="CO989" s="17"/>
      <c r="CP989" s="17"/>
      <c r="CQ989" s="17"/>
      <c r="CR989" s="17"/>
      <c r="CS989" s="17"/>
      <c r="CT989" s="17"/>
      <c r="CU989" s="17"/>
      <c r="CV989" s="17"/>
      <c r="CW989" s="17"/>
      <c r="CX989" s="17"/>
      <c r="CY989" s="17"/>
      <c r="CZ989" s="17"/>
      <c r="DA989" s="17"/>
      <c r="DB989" s="17"/>
      <c r="DC989" s="17"/>
      <c r="DD989" s="17"/>
      <c r="DE989" s="17"/>
      <c r="DF989" s="17"/>
      <c r="DG989" s="17"/>
      <c r="DH989" s="17"/>
      <c r="DI989" s="17"/>
      <c r="DJ989" s="17"/>
      <c r="DK989" s="17"/>
      <c r="DL989" s="17"/>
      <c r="DM989" s="17"/>
      <c r="DN989" s="17"/>
      <c r="DO989" s="17"/>
      <c r="DP989" s="17"/>
      <c r="DQ989" s="17"/>
      <c r="DR989" s="17"/>
      <c r="DS989" s="17"/>
      <c r="DT989" s="17"/>
      <c r="DU989" s="17"/>
      <c r="DV989" s="17"/>
      <c r="DW989" s="17"/>
    </row>
    <row r="990" spans="1:127" ht="18" customHeight="1">
      <c r="A990" s="16"/>
      <c r="B990" s="16"/>
      <c r="C990" s="16"/>
      <c r="D990" s="16"/>
      <c r="E990" s="16"/>
      <c r="F990" s="16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  <c r="BK990" s="17"/>
      <c r="BL990" s="17"/>
      <c r="BM990" s="17"/>
      <c r="BN990" s="17"/>
      <c r="BO990" s="17"/>
      <c r="BP990" s="17"/>
      <c r="BQ990" s="17"/>
      <c r="BR990" s="17"/>
      <c r="BS990" s="17"/>
      <c r="BT990" s="17"/>
      <c r="BU990" s="17"/>
      <c r="BV990" s="17"/>
      <c r="BW990" s="17"/>
      <c r="BX990" s="17"/>
      <c r="BY990" s="17"/>
      <c r="BZ990" s="17"/>
      <c r="CA990" s="17"/>
      <c r="CB990" s="17"/>
      <c r="CC990" s="17"/>
      <c r="CD990" s="17"/>
      <c r="CE990" s="17"/>
      <c r="CF990" s="17"/>
      <c r="CG990" s="17"/>
      <c r="CH990" s="17"/>
      <c r="CI990" s="17"/>
      <c r="CJ990" s="17"/>
      <c r="CK990" s="17"/>
      <c r="CL990" s="17"/>
      <c r="CM990" s="17"/>
      <c r="CN990" s="17"/>
      <c r="CO990" s="17"/>
      <c r="CP990" s="17"/>
      <c r="CQ990" s="17"/>
      <c r="CR990" s="17"/>
      <c r="CS990" s="17"/>
      <c r="CT990" s="17"/>
      <c r="CU990" s="17"/>
      <c r="CV990" s="17"/>
      <c r="CW990" s="17"/>
      <c r="CX990" s="17"/>
      <c r="CY990" s="17"/>
      <c r="CZ990" s="17"/>
      <c r="DA990" s="17"/>
      <c r="DB990" s="17"/>
      <c r="DC990" s="17"/>
      <c r="DD990" s="17"/>
      <c r="DE990" s="17"/>
      <c r="DF990" s="17"/>
      <c r="DG990" s="17"/>
      <c r="DH990" s="17"/>
      <c r="DI990" s="17"/>
      <c r="DJ990" s="17"/>
      <c r="DK990" s="17"/>
      <c r="DL990" s="17"/>
      <c r="DM990" s="17"/>
      <c r="DN990" s="17"/>
      <c r="DO990" s="17"/>
      <c r="DP990" s="17"/>
      <c r="DQ990" s="17"/>
      <c r="DR990" s="17"/>
      <c r="DS990" s="17"/>
      <c r="DT990" s="17"/>
      <c r="DU990" s="17"/>
      <c r="DV990" s="17"/>
      <c r="DW990" s="17"/>
    </row>
    <row r="991" spans="1:127" ht="18" customHeight="1">
      <c r="A991" s="16"/>
      <c r="B991" s="16"/>
      <c r="C991" s="16"/>
      <c r="D991" s="16"/>
      <c r="E991" s="16"/>
      <c r="F991" s="16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  <c r="BK991" s="17"/>
      <c r="BL991" s="17"/>
      <c r="BM991" s="17"/>
      <c r="BN991" s="17"/>
      <c r="BO991" s="17"/>
      <c r="BP991" s="17"/>
      <c r="BQ991" s="17"/>
      <c r="BR991" s="17"/>
      <c r="BS991" s="17"/>
      <c r="BT991" s="17"/>
      <c r="BU991" s="17"/>
      <c r="BV991" s="17"/>
      <c r="BW991" s="17"/>
      <c r="BX991" s="17"/>
      <c r="BY991" s="17"/>
      <c r="BZ991" s="17"/>
      <c r="CA991" s="17"/>
      <c r="CB991" s="17"/>
      <c r="CC991" s="17"/>
      <c r="CD991" s="17"/>
      <c r="CE991" s="17"/>
      <c r="CF991" s="17"/>
      <c r="CG991" s="17"/>
      <c r="CH991" s="17"/>
      <c r="CI991" s="17"/>
      <c r="CJ991" s="17"/>
      <c r="CK991" s="17"/>
      <c r="CL991" s="17"/>
      <c r="CM991" s="17"/>
      <c r="CN991" s="17"/>
      <c r="CO991" s="17"/>
      <c r="CP991" s="17"/>
      <c r="CQ991" s="17"/>
      <c r="CR991" s="17"/>
      <c r="CS991" s="17"/>
      <c r="CT991" s="17"/>
      <c r="CU991" s="17"/>
      <c r="CV991" s="17"/>
      <c r="CW991" s="17"/>
      <c r="CX991" s="17"/>
      <c r="CY991" s="17"/>
      <c r="CZ991" s="17"/>
      <c r="DA991" s="17"/>
      <c r="DB991" s="17"/>
      <c r="DC991" s="17"/>
      <c r="DD991" s="17"/>
      <c r="DE991" s="17"/>
      <c r="DF991" s="17"/>
      <c r="DG991" s="17"/>
      <c r="DH991" s="17"/>
      <c r="DI991" s="17"/>
      <c r="DJ991" s="17"/>
      <c r="DK991" s="17"/>
      <c r="DL991" s="17"/>
      <c r="DM991" s="17"/>
      <c r="DN991" s="17"/>
      <c r="DO991" s="17"/>
      <c r="DP991" s="17"/>
      <c r="DQ991" s="17"/>
      <c r="DR991" s="17"/>
      <c r="DS991" s="17"/>
      <c r="DT991" s="17"/>
      <c r="DU991" s="17"/>
      <c r="DV991" s="17"/>
      <c r="DW991" s="17"/>
    </row>
    <row r="992" spans="1:127" ht="18" customHeight="1">
      <c r="A992" s="16"/>
      <c r="B992" s="16"/>
      <c r="C992" s="16"/>
      <c r="D992" s="16"/>
      <c r="E992" s="16"/>
      <c r="F992" s="16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  <c r="BK992" s="17"/>
      <c r="BL992" s="17"/>
      <c r="BM992" s="17"/>
      <c r="BN992" s="17"/>
      <c r="BO992" s="17"/>
      <c r="BP992" s="17"/>
      <c r="BQ992" s="17"/>
      <c r="BR992" s="17"/>
      <c r="BS992" s="17"/>
      <c r="BT992" s="17"/>
      <c r="BU992" s="17"/>
      <c r="BV992" s="17"/>
      <c r="BW992" s="17"/>
      <c r="BX992" s="17"/>
      <c r="BY992" s="17"/>
      <c r="BZ992" s="17"/>
      <c r="CA992" s="17"/>
      <c r="CB992" s="17"/>
      <c r="CC992" s="17"/>
      <c r="CD992" s="17"/>
      <c r="CE992" s="17"/>
      <c r="CF992" s="17"/>
      <c r="CG992" s="17"/>
      <c r="CH992" s="17"/>
      <c r="CI992" s="17"/>
      <c r="CJ992" s="17"/>
      <c r="CK992" s="17"/>
      <c r="CL992" s="17"/>
      <c r="CM992" s="17"/>
      <c r="CN992" s="17"/>
      <c r="CO992" s="17"/>
      <c r="CP992" s="17"/>
      <c r="CQ992" s="17"/>
      <c r="CR992" s="17"/>
      <c r="CS992" s="17"/>
      <c r="CT992" s="17"/>
      <c r="CU992" s="17"/>
      <c r="CV992" s="17"/>
      <c r="CW992" s="17"/>
      <c r="CX992" s="17"/>
      <c r="CY992" s="17"/>
      <c r="CZ992" s="17"/>
      <c r="DA992" s="17"/>
      <c r="DB992" s="17"/>
      <c r="DC992" s="17"/>
      <c r="DD992" s="17"/>
      <c r="DE992" s="17"/>
      <c r="DF992" s="17"/>
      <c r="DG992" s="17"/>
      <c r="DH992" s="17"/>
      <c r="DI992" s="17"/>
      <c r="DJ992" s="17"/>
      <c r="DK992" s="17"/>
      <c r="DL992" s="17"/>
      <c r="DM992" s="17"/>
      <c r="DN992" s="17"/>
      <c r="DO992" s="17"/>
      <c r="DP992" s="17"/>
      <c r="DQ992" s="17"/>
      <c r="DR992" s="17"/>
      <c r="DS992" s="17"/>
      <c r="DT992" s="17"/>
      <c r="DU992" s="17"/>
      <c r="DV992" s="17"/>
      <c r="DW992" s="17"/>
    </row>
    <row r="993" spans="1:127" ht="18" customHeight="1">
      <c r="A993" s="16"/>
      <c r="B993" s="16"/>
      <c r="C993" s="16"/>
      <c r="D993" s="16"/>
      <c r="E993" s="16"/>
      <c r="F993" s="16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/>
      <c r="CF993" s="17"/>
      <c r="CG993" s="17"/>
      <c r="CH993" s="17"/>
      <c r="CI993" s="17"/>
      <c r="CJ993" s="17"/>
      <c r="CK993" s="17"/>
      <c r="CL993" s="17"/>
      <c r="CM993" s="17"/>
      <c r="CN993" s="17"/>
      <c r="CO993" s="17"/>
      <c r="CP993" s="17"/>
      <c r="CQ993" s="17"/>
      <c r="CR993" s="17"/>
      <c r="CS993" s="17"/>
      <c r="CT993" s="17"/>
      <c r="CU993" s="17"/>
      <c r="CV993" s="17"/>
      <c r="CW993" s="17"/>
      <c r="CX993" s="17"/>
      <c r="CY993" s="17"/>
      <c r="CZ993" s="17"/>
      <c r="DA993" s="17"/>
      <c r="DB993" s="17"/>
      <c r="DC993" s="17"/>
      <c r="DD993" s="17"/>
      <c r="DE993" s="17"/>
      <c r="DF993" s="17"/>
      <c r="DG993" s="17"/>
      <c r="DH993" s="17"/>
      <c r="DI993" s="17"/>
      <c r="DJ993" s="17"/>
      <c r="DK993" s="17"/>
      <c r="DL993" s="17"/>
      <c r="DM993" s="17"/>
      <c r="DN993" s="17"/>
      <c r="DO993" s="17"/>
      <c r="DP993" s="17"/>
      <c r="DQ993" s="17"/>
      <c r="DR993" s="17"/>
      <c r="DS993" s="17"/>
      <c r="DT993" s="17"/>
      <c r="DU993" s="17"/>
      <c r="DV993" s="17"/>
      <c r="DW993" s="17"/>
    </row>
    <row r="994" spans="1:127" ht="18" customHeight="1">
      <c r="A994" s="16"/>
      <c r="B994" s="16"/>
      <c r="C994" s="16"/>
      <c r="D994" s="16"/>
      <c r="E994" s="16"/>
      <c r="F994" s="16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  <c r="CC994" s="17"/>
      <c r="CD994" s="17"/>
      <c r="CE994" s="17"/>
      <c r="CF994" s="17"/>
      <c r="CG994" s="17"/>
      <c r="CH994" s="17"/>
      <c r="CI994" s="17"/>
      <c r="CJ994" s="17"/>
      <c r="CK994" s="17"/>
      <c r="CL994" s="17"/>
      <c r="CM994" s="17"/>
      <c r="CN994" s="17"/>
      <c r="CO994" s="17"/>
      <c r="CP994" s="17"/>
      <c r="CQ994" s="17"/>
      <c r="CR994" s="17"/>
      <c r="CS994" s="17"/>
      <c r="CT994" s="17"/>
      <c r="CU994" s="17"/>
      <c r="CV994" s="17"/>
      <c r="CW994" s="17"/>
      <c r="CX994" s="17"/>
      <c r="CY994" s="17"/>
      <c r="CZ994" s="17"/>
      <c r="DA994" s="17"/>
      <c r="DB994" s="17"/>
      <c r="DC994" s="17"/>
      <c r="DD994" s="17"/>
      <c r="DE994" s="17"/>
      <c r="DF994" s="17"/>
      <c r="DG994" s="17"/>
      <c r="DH994" s="17"/>
      <c r="DI994" s="17"/>
      <c r="DJ994" s="17"/>
      <c r="DK994" s="17"/>
      <c r="DL994" s="17"/>
      <c r="DM994" s="17"/>
      <c r="DN994" s="17"/>
      <c r="DO994" s="17"/>
      <c r="DP994" s="17"/>
      <c r="DQ994" s="17"/>
      <c r="DR994" s="17"/>
      <c r="DS994" s="17"/>
      <c r="DT994" s="17"/>
      <c r="DU994" s="17"/>
      <c r="DV994" s="17"/>
      <c r="DW994" s="17"/>
    </row>
    <row r="995" spans="1:127" ht="18" customHeight="1">
      <c r="A995" s="16"/>
      <c r="B995" s="16"/>
      <c r="C995" s="16"/>
      <c r="D995" s="16"/>
      <c r="E995" s="16"/>
      <c r="F995" s="16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  <c r="BK995" s="17"/>
      <c r="BL995" s="17"/>
      <c r="BM995" s="17"/>
      <c r="BN995" s="17"/>
      <c r="BO995" s="17"/>
      <c r="BP995" s="17"/>
      <c r="BQ995" s="17"/>
      <c r="BR995" s="17"/>
      <c r="BS995" s="17"/>
      <c r="BT995" s="17"/>
      <c r="BU995" s="17"/>
      <c r="BV995" s="17"/>
      <c r="BW995" s="17"/>
      <c r="BX995" s="17"/>
      <c r="BY995" s="17"/>
      <c r="BZ995" s="17"/>
      <c r="CA995" s="17"/>
      <c r="CB995" s="17"/>
      <c r="CC995" s="17"/>
      <c r="CD995" s="17"/>
      <c r="CE995" s="17"/>
      <c r="CF995" s="17"/>
      <c r="CG995" s="17"/>
      <c r="CH995" s="17"/>
      <c r="CI995" s="17"/>
      <c r="CJ995" s="17"/>
      <c r="CK995" s="17"/>
      <c r="CL995" s="17"/>
      <c r="CM995" s="17"/>
      <c r="CN995" s="17"/>
      <c r="CO995" s="17"/>
      <c r="CP995" s="17"/>
      <c r="CQ995" s="17"/>
      <c r="CR995" s="17"/>
      <c r="CS995" s="17"/>
      <c r="CT995" s="17"/>
      <c r="CU995" s="17"/>
      <c r="CV995" s="17"/>
      <c r="CW995" s="17"/>
      <c r="CX995" s="17"/>
      <c r="CY995" s="17"/>
      <c r="CZ995" s="17"/>
      <c r="DA995" s="17"/>
      <c r="DB995" s="17"/>
      <c r="DC995" s="17"/>
      <c r="DD995" s="17"/>
      <c r="DE995" s="17"/>
      <c r="DF995" s="17"/>
      <c r="DG995" s="17"/>
      <c r="DH995" s="17"/>
      <c r="DI995" s="17"/>
      <c r="DJ995" s="17"/>
      <c r="DK995" s="17"/>
      <c r="DL995" s="17"/>
      <c r="DM995" s="17"/>
      <c r="DN995" s="17"/>
      <c r="DO995" s="17"/>
      <c r="DP995" s="17"/>
      <c r="DQ995" s="17"/>
      <c r="DR995" s="17"/>
      <c r="DS995" s="17"/>
      <c r="DT995" s="17"/>
      <c r="DU995" s="17"/>
      <c r="DV995" s="17"/>
      <c r="DW995" s="17"/>
    </row>
    <row r="996" spans="1:127" ht="18" customHeight="1">
      <c r="A996" s="16"/>
      <c r="B996" s="16"/>
      <c r="C996" s="16"/>
      <c r="D996" s="16"/>
      <c r="E996" s="16"/>
      <c r="F996" s="16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  <c r="CD996" s="17"/>
      <c r="CE996" s="17"/>
      <c r="CF996" s="17"/>
      <c r="CG996" s="17"/>
      <c r="CH996" s="17"/>
      <c r="CI996" s="17"/>
      <c r="CJ996" s="17"/>
      <c r="CK996" s="17"/>
      <c r="CL996" s="17"/>
      <c r="CM996" s="17"/>
      <c r="CN996" s="17"/>
      <c r="CO996" s="17"/>
      <c r="CP996" s="17"/>
      <c r="CQ996" s="17"/>
      <c r="CR996" s="17"/>
      <c r="CS996" s="17"/>
      <c r="CT996" s="17"/>
      <c r="CU996" s="17"/>
      <c r="CV996" s="17"/>
      <c r="CW996" s="17"/>
      <c r="CX996" s="17"/>
      <c r="CY996" s="17"/>
      <c r="CZ996" s="17"/>
      <c r="DA996" s="17"/>
      <c r="DB996" s="17"/>
      <c r="DC996" s="17"/>
      <c r="DD996" s="17"/>
      <c r="DE996" s="17"/>
      <c r="DF996" s="17"/>
      <c r="DG996" s="17"/>
      <c r="DH996" s="17"/>
      <c r="DI996" s="17"/>
      <c r="DJ996" s="17"/>
      <c r="DK996" s="17"/>
      <c r="DL996" s="17"/>
      <c r="DM996" s="17"/>
      <c r="DN996" s="17"/>
      <c r="DO996" s="17"/>
      <c r="DP996" s="17"/>
      <c r="DQ996" s="17"/>
      <c r="DR996" s="17"/>
      <c r="DS996" s="17"/>
      <c r="DT996" s="17"/>
      <c r="DU996" s="17"/>
      <c r="DV996" s="17"/>
      <c r="DW996" s="17"/>
    </row>
    <row r="997" spans="1:127" ht="18" customHeight="1">
      <c r="A997" s="16"/>
      <c r="B997" s="16"/>
      <c r="C997" s="16"/>
      <c r="D997" s="16"/>
      <c r="E997" s="16"/>
      <c r="F997" s="16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/>
      <c r="CF997" s="17"/>
      <c r="CG997" s="17"/>
      <c r="CH997" s="17"/>
      <c r="CI997" s="17"/>
      <c r="CJ997" s="17"/>
      <c r="CK997" s="17"/>
      <c r="CL997" s="17"/>
      <c r="CM997" s="17"/>
      <c r="CN997" s="17"/>
      <c r="CO997" s="17"/>
      <c r="CP997" s="17"/>
      <c r="CQ997" s="17"/>
      <c r="CR997" s="17"/>
      <c r="CS997" s="17"/>
      <c r="CT997" s="17"/>
      <c r="CU997" s="17"/>
      <c r="CV997" s="17"/>
      <c r="CW997" s="17"/>
      <c r="CX997" s="17"/>
      <c r="CY997" s="17"/>
      <c r="CZ997" s="17"/>
      <c r="DA997" s="17"/>
      <c r="DB997" s="17"/>
      <c r="DC997" s="17"/>
      <c r="DD997" s="17"/>
      <c r="DE997" s="17"/>
      <c r="DF997" s="17"/>
      <c r="DG997" s="17"/>
      <c r="DH997" s="17"/>
      <c r="DI997" s="17"/>
      <c r="DJ997" s="17"/>
      <c r="DK997" s="17"/>
      <c r="DL997" s="17"/>
      <c r="DM997" s="17"/>
      <c r="DN997" s="17"/>
      <c r="DO997" s="17"/>
      <c r="DP997" s="17"/>
      <c r="DQ997" s="17"/>
      <c r="DR997" s="17"/>
      <c r="DS997" s="17"/>
      <c r="DT997" s="17"/>
      <c r="DU997" s="17"/>
      <c r="DV997" s="17"/>
      <c r="DW997" s="17"/>
    </row>
    <row r="998" spans="1:127" ht="18" customHeight="1">
      <c r="A998" s="16"/>
      <c r="B998" s="16"/>
      <c r="C998" s="16"/>
      <c r="D998" s="16"/>
      <c r="E998" s="16"/>
      <c r="F998" s="16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  <c r="BK998" s="17"/>
      <c r="BL998" s="17"/>
      <c r="BM998" s="17"/>
      <c r="BN998" s="17"/>
      <c r="BO998" s="17"/>
      <c r="BP998" s="17"/>
      <c r="BQ998" s="17"/>
      <c r="BR998" s="17"/>
      <c r="BS998" s="17"/>
      <c r="BT998" s="17"/>
      <c r="BU998" s="17"/>
      <c r="BV998" s="17"/>
      <c r="BW998" s="17"/>
      <c r="BX998" s="17"/>
      <c r="BY998" s="17"/>
      <c r="BZ998" s="17"/>
      <c r="CA998" s="17"/>
      <c r="CB998" s="17"/>
      <c r="CC998" s="17"/>
      <c r="CD998" s="17"/>
      <c r="CE998" s="17"/>
      <c r="CF998" s="17"/>
      <c r="CG998" s="17"/>
      <c r="CH998" s="17"/>
      <c r="CI998" s="17"/>
      <c r="CJ998" s="17"/>
      <c r="CK998" s="17"/>
      <c r="CL998" s="17"/>
      <c r="CM998" s="17"/>
      <c r="CN998" s="17"/>
      <c r="CO998" s="17"/>
      <c r="CP998" s="17"/>
      <c r="CQ998" s="17"/>
      <c r="CR998" s="17"/>
      <c r="CS998" s="17"/>
      <c r="CT998" s="17"/>
      <c r="CU998" s="17"/>
      <c r="CV998" s="17"/>
      <c r="CW998" s="17"/>
      <c r="CX998" s="17"/>
      <c r="CY998" s="17"/>
      <c r="CZ998" s="17"/>
      <c r="DA998" s="17"/>
      <c r="DB998" s="17"/>
      <c r="DC998" s="17"/>
      <c r="DD998" s="17"/>
      <c r="DE998" s="17"/>
      <c r="DF998" s="17"/>
      <c r="DG998" s="17"/>
      <c r="DH998" s="17"/>
      <c r="DI998" s="17"/>
      <c r="DJ998" s="17"/>
      <c r="DK998" s="17"/>
      <c r="DL998" s="17"/>
      <c r="DM998" s="17"/>
      <c r="DN998" s="17"/>
      <c r="DO998" s="17"/>
      <c r="DP998" s="17"/>
      <c r="DQ998" s="17"/>
      <c r="DR998" s="17"/>
      <c r="DS998" s="17"/>
      <c r="DT998" s="17"/>
      <c r="DU998" s="17"/>
      <c r="DV998" s="17"/>
      <c r="DW998" s="17"/>
    </row>
    <row r="999" spans="1:127" ht="18" customHeight="1">
      <c r="A999" s="16"/>
      <c r="B999" s="16"/>
      <c r="C999" s="16"/>
      <c r="D999" s="16"/>
      <c r="E999" s="16"/>
      <c r="F999" s="16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7"/>
      <c r="CB999" s="17"/>
      <c r="CC999" s="17"/>
      <c r="CD999" s="17"/>
      <c r="CE999" s="17"/>
      <c r="CF999" s="17"/>
      <c r="CG999" s="17"/>
      <c r="CH999" s="17"/>
      <c r="CI999" s="17"/>
      <c r="CJ999" s="17"/>
      <c r="CK999" s="17"/>
      <c r="CL999" s="17"/>
      <c r="CM999" s="17"/>
      <c r="CN999" s="17"/>
      <c r="CO999" s="17"/>
      <c r="CP999" s="17"/>
      <c r="CQ999" s="17"/>
      <c r="CR999" s="17"/>
      <c r="CS999" s="17"/>
      <c r="CT999" s="17"/>
      <c r="CU999" s="17"/>
      <c r="CV999" s="17"/>
      <c r="CW999" s="17"/>
      <c r="CX999" s="17"/>
      <c r="CY999" s="17"/>
      <c r="CZ999" s="17"/>
      <c r="DA999" s="17"/>
      <c r="DB999" s="17"/>
      <c r="DC999" s="17"/>
      <c r="DD999" s="17"/>
      <c r="DE999" s="17"/>
      <c r="DF999" s="17"/>
      <c r="DG999" s="17"/>
      <c r="DH999" s="17"/>
      <c r="DI999" s="17"/>
      <c r="DJ999" s="17"/>
      <c r="DK999" s="17"/>
      <c r="DL999" s="17"/>
      <c r="DM999" s="17"/>
      <c r="DN999" s="17"/>
      <c r="DO999" s="17"/>
      <c r="DP999" s="17"/>
      <c r="DQ999" s="17"/>
      <c r="DR999" s="17"/>
      <c r="DS999" s="17"/>
      <c r="DT999" s="17"/>
      <c r="DU999" s="17"/>
      <c r="DV999" s="17"/>
      <c r="DW999" s="17"/>
    </row>
    <row r="1000" spans="1:127" ht="18" customHeight="1">
      <c r="A1000" s="16"/>
      <c r="B1000" s="16"/>
      <c r="C1000" s="16"/>
      <c r="D1000" s="16"/>
      <c r="E1000" s="16"/>
      <c r="F1000" s="16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  <c r="CC1000" s="17"/>
      <c r="CD1000" s="17"/>
      <c r="CE1000" s="17"/>
      <c r="CF1000" s="17"/>
      <c r="CG1000" s="17"/>
      <c r="CH1000" s="17"/>
      <c r="CI1000" s="17"/>
      <c r="CJ1000" s="17"/>
      <c r="CK1000" s="17"/>
      <c r="CL1000" s="17"/>
      <c r="CM1000" s="17"/>
      <c r="CN1000" s="17"/>
      <c r="CO1000" s="17"/>
      <c r="CP1000" s="17"/>
      <c r="CQ1000" s="17"/>
      <c r="CR1000" s="17"/>
      <c r="CS1000" s="17"/>
      <c r="CT1000" s="17"/>
      <c r="CU1000" s="17"/>
      <c r="CV1000" s="17"/>
      <c r="CW1000" s="17"/>
      <c r="CX1000" s="17"/>
      <c r="CY1000" s="17"/>
      <c r="CZ1000" s="17"/>
      <c r="DA1000" s="17"/>
      <c r="DB1000" s="17"/>
      <c r="DC1000" s="17"/>
      <c r="DD1000" s="17"/>
      <c r="DE1000" s="17"/>
      <c r="DF1000" s="17"/>
      <c r="DG1000" s="17"/>
      <c r="DH1000" s="17"/>
      <c r="DI1000" s="17"/>
      <c r="DJ1000" s="17"/>
      <c r="DK1000" s="17"/>
      <c r="DL1000" s="17"/>
      <c r="DM1000" s="17"/>
      <c r="DN1000" s="17"/>
      <c r="DO1000" s="17"/>
      <c r="DP1000" s="17"/>
      <c r="DQ1000" s="17"/>
      <c r="DR1000" s="17"/>
      <c r="DS1000" s="17"/>
      <c r="DT1000" s="17"/>
      <c r="DU1000" s="17"/>
      <c r="DV1000" s="17"/>
      <c r="DW1000" s="17"/>
    </row>
    <row r="1001" spans="1:127" ht="18" customHeight="1">
      <c r="A1001" s="16"/>
      <c r="B1001" s="16"/>
      <c r="C1001" s="16"/>
      <c r="D1001" s="16"/>
      <c r="E1001" s="16"/>
      <c r="F1001" s="16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  <c r="BU1001" s="17"/>
      <c r="BV1001" s="17"/>
      <c r="BW1001" s="17"/>
      <c r="BX1001" s="17"/>
      <c r="BY1001" s="17"/>
      <c r="BZ1001" s="17"/>
      <c r="CA1001" s="17"/>
      <c r="CB1001" s="17"/>
      <c r="CC1001" s="17"/>
      <c r="CD1001" s="17"/>
      <c r="CE1001" s="17"/>
      <c r="CF1001" s="17"/>
      <c r="CG1001" s="17"/>
      <c r="CH1001" s="17"/>
      <c r="CI1001" s="17"/>
      <c r="CJ1001" s="17"/>
      <c r="CK1001" s="17"/>
      <c r="CL1001" s="17"/>
      <c r="CM1001" s="17"/>
      <c r="CN1001" s="17"/>
      <c r="CO1001" s="17"/>
      <c r="CP1001" s="17"/>
      <c r="CQ1001" s="17"/>
      <c r="CR1001" s="17"/>
      <c r="CS1001" s="17"/>
      <c r="CT1001" s="17"/>
      <c r="CU1001" s="17"/>
      <c r="CV1001" s="17"/>
      <c r="CW1001" s="17"/>
      <c r="CX1001" s="17"/>
      <c r="CY1001" s="17"/>
      <c r="CZ1001" s="17"/>
      <c r="DA1001" s="17"/>
      <c r="DB1001" s="17"/>
      <c r="DC1001" s="17"/>
      <c r="DD1001" s="17"/>
      <c r="DE1001" s="17"/>
      <c r="DF1001" s="17"/>
      <c r="DG1001" s="17"/>
      <c r="DH1001" s="17"/>
      <c r="DI1001" s="17"/>
      <c r="DJ1001" s="17"/>
      <c r="DK1001" s="17"/>
      <c r="DL1001" s="17"/>
      <c r="DM1001" s="17"/>
      <c r="DN1001" s="17"/>
      <c r="DO1001" s="17"/>
      <c r="DP1001" s="17"/>
      <c r="DQ1001" s="17"/>
      <c r="DR1001" s="17"/>
      <c r="DS1001" s="17"/>
      <c r="DT1001" s="17"/>
      <c r="DU1001" s="17"/>
      <c r="DV1001" s="17"/>
      <c r="DW1001" s="17"/>
    </row>
    <row r="1002" spans="1:127" ht="18" customHeight="1">
      <c r="A1002" s="16"/>
      <c r="B1002" s="16"/>
      <c r="C1002" s="16"/>
      <c r="D1002" s="16"/>
      <c r="E1002" s="16"/>
      <c r="F1002" s="16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7"/>
      <c r="BY1002" s="17"/>
      <c r="BZ1002" s="17"/>
      <c r="CA1002" s="17"/>
      <c r="CB1002" s="17"/>
      <c r="CC1002" s="17"/>
      <c r="CD1002" s="17"/>
      <c r="CE1002" s="17"/>
      <c r="CF1002" s="17"/>
      <c r="CG1002" s="17"/>
      <c r="CH1002" s="17"/>
      <c r="CI1002" s="17"/>
      <c r="CJ1002" s="17"/>
      <c r="CK1002" s="17"/>
      <c r="CL1002" s="17"/>
      <c r="CM1002" s="17"/>
      <c r="CN1002" s="17"/>
      <c r="CO1002" s="17"/>
      <c r="CP1002" s="17"/>
      <c r="CQ1002" s="17"/>
      <c r="CR1002" s="17"/>
      <c r="CS1002" s="17"/>
      <c r="CT1002" s="17"/>
      <c r="CU1002" s="17"/>
      <c r="CV1002" s="17"/>
      <c r="CW1002" s="17"/>
      <c r="CX1002" s="17"/>
      <c r="CY1002" s="17"/>
      <c r="CZ1002" s="17"/>
      <c r="DA1002" s="17"/>
      <c r="DB1002" s="17"/>
      <c r="DC1002" s="17"/>
      <c r="DD1002" s="17"/>
      <c r="DE1002" s="17"/>
      <c r="DF1002" s="17"/>
      <c r="DG1002" s="17"/>
      <c r="DH1002" s="17"/>
      <c r="DI1002" s="17"/>
      <c r="DJ1002" s="17"/>
      <c r="DK1002" s="17"/>
      <c r="DL1002" s="17"/>
      <c r="DM1002" s="17"/>
      <c r="DN1002" s="17"/>
      <c r="DO1002" s="17"/>
      <c r="DP1002" s="17"/>
      <c r="DQ1002" s="17"/>
      <c r="DR1002" s="17"/>
      <c r="DS1002" s="17"/>
      <c r="DT1002" s="17"/>
      <c r="DU1002" s="17"/>
      <c r="DV1002" s="17"/>
      <c r="DW1002" s="17"/>
    </row>
    <row r="1003" spans="1:127" ht="18" customHeight="1">
      <c r="A1003" s="16"/>
      <c r="B1003" s="16"/>
      <c r="C1003" s="16"/>
      <c r="D1003" s="16"/>
      <c r="E1003" s="16"/>
      <c r="F1003" s="16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7"/>
      <c r="BY1003" s="17"/>
      <c r="BZ1003" s="17"/>
      <c r="CA1003" s="17"/>
      <c r="CB1003" s="17"/>
      <c r="CC1003" s="17"/>
      <c r="CD1003" s="17"/>
      <c r="CE1003" s="17"/>
      <c r="CF1003" s="17"/>
      <c r="CG1003" s="17"/>
      <c r="CH1003" s="17"/>
      <c r="CI1003" s="17"/>
      <c r="CJ1003" s="17"/>
      <c r="CK1003" s="17"/>
      <c r="CL1003" s="17"/>
      <c r="CM1003" s="17"/>
      <c r="CN1003" s="17"/>
      <c r="CO1003" s="17"/>
      <c r="CP1003" s="17"/>
      <c r="CQ1003" s="17"/>
      <c r="CR1003" s="17"/>
      <c r="CS1003" s="17"/>
      <c r="CT1003" s="17"/>
      <c r="CU1003" s="17"/>
      <c r="CV1003" s="17"/>
      <c r="CW1003" s="17"/>
      <c r="CX1003" s="17"/>
      <c r="CY1003" s="17"/>
      <c r="CZ1003" s="17"/>
      <c r="DA1003" s="17"/>
      <c r="DB1003" s="17"/>
      <c r="DC1003" s="17"/>
      <c r="DD1003" s="17"/>
      <c r="DE1003" s="17"/>
      <c r="DF1003" s="17"/>
      <c r="DG1003" s="17"/>
      <c r="DH1003" s="17"/>
      <c r="DI1003" s="17"/>
      <c r="DJ1003" s="17"/>
      <c r="DK1003" s="17"/>
      <c r="DL1003" s="17"/>
      <c r="DM1003" s="17"/>
      <c r="DN1003" s="17"/>
      <c r="DO1003" s="17"/>
      <c r="DP1003" s="17"/>
      <c r="DQ1003" s="17"/>
      <c r="DR1003" s="17"/>
      <c r="DS1003" s="17"/>
      <c r="DT1003" s="17"/>
      <c r="DU1003" s="17"/>
      <c r="DV1003" s="17"/>
      <c r="DW1003" s="17"/>
    </row>
    <row r="1004" spans="1:127" ht="18" customHeight="1">
      <c r="A1004" s="16"/>
      <c r="B1004" s="16"/>
      <c r="C1004" s="16"/>
      <c r="D1004" s="16"/>
      <c r="E1004" s="16"/>
      <c r="F1004" s="16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7"/>
      <c r="BY1004" s="17"/>
      <c r="BZ1004" s="17"/>
      <c r="CA1004" s="17"/>
      <c r="CB1004" s="17"/>
      <c r="CC1004" s="17"/>
      <c r="CD1004" s="17"/>
      <c r="CE1004" s="17"/>
      <c r="CF1004" s="17"/>
      <c r="CG1004" s="17"/>
      <c r="CH1004" s="17"/>
      <c r="CI1004" s="17"/>
      <c r="CJ1004" s="17"/>
      <c r="CK1004" s="17"/>
      <c r="CL1004" s="17"/>
      <c r="CM1004" s="17"/>
      <c r="CN1004" s="17"/>
      <c r="CO1004" s="17"/>
      <c r="CP1004" s="17"/>
      <c r="CQ1004" s="17"/>
      <c r="CR1004" s="17"/>
      <c r="CS1004" s="17"/>
      <c r="CT1004" s="17"/>
      <c r="CU1004" s="17"/>
      <c r="CV1004" s="17"/>
      <c r="CW1004" s="17"/>
      <c r="CX1004" s="17"/>
      <c r="CY1004" s="17"/>
      <c r="CZ1004" s="17"/>
      <c r="DA1004" s="17"/>
      <c r="DB1004" s="17"/>
      <c r="DC1004" s="17"/>
      <c r="DD1004" s="17"/>
      <c r="DE1004" s="17"/>
      <c r="DF1004" s="17"/>
      <c r="DG1004" s="17"/>
      <c r="DH1004" s="17"/>
      <c r="DI1004" s="17"/>
      <c r="DJ1004" s="17"/>
      <c r="DK1004" s="17"/>
      <c r="DL1004" s="17"/>
      <c r="DM1004" s="17"/>
      <c r="DN1004" s="17"/>
      <c r="DO1004" s="17"/>
      <c r="DP1004" s="17"/>
      <c r="DQ1004" s="17"/>
      <c r="DR1004" s="17"/>
      <c r="DS1004" s="17"/>
      <c r="DT1004" s="17"/>
      <c r="DU1004" s="17"/>
      <c r="DV1004" s="17"/>
      <c r="DW1004" s="17"/>
    </row>
    <row r="1005" spans="1:127" ht="18" customHeight="1">
      <c r="A1005" s="16"/>
      <c r="B1005" s="16"/>
      <c r="C1005" s="16"/>
      <c r="D1005" s="16"/>
      <c r="E1005" s="16"/>
      <c r="F1005" s="16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  <c r="BK1005" s="17"/>
      <c r="BL1005" s="17"/>
      <c r="BM1005" s="17"/>
      <c r="BN1005" s="17"/>
      <c r="BO1005" s="17"/>
      <c r="BP1005" s="17"/>
      <c r="BQ1005" s="17"/>
      <c r="BR1005" s="17"/>
      <c r="BS1005" s="17"/>
      <c r="BT1005" s="17"/>
      <c r="BU1005" s="17"/>
      <c r="BV1005" s="17"/>
      <c r="BW1005" s="17"/>
      <c r="BX1005" s="17"/>
      <c r="BY1005" s="17"/>
      <c r="BZ1005" s="17"/>
      <c r="CA1005" s="17"/>
      <c r="CB1005" s="17"/>
      <c r="CC1005" s="17"/>
      <c r="CD1005" s="17"/>
      <c r="CE1005" s="17"/>
      <c r="CF1005" s="17"/>
      <c r="CG1005" s="17"/>
      <c r="CH1005" s="17"/>
      <c r="CI1005" s="17"/>
      <c r="CJ1005" s="17"/>
      <c r="CK1005" s="17"/>
      <c r="CL1005" s="17"/>
      <c r="CM1005" s="17"/>
      <c r="CN1005" s="17"/>
      <c r="CO1005" s="17"/>
      <c r="CP1005" s="17"/>
      <c r="CQ1005" s="17"/>
      <c r="CR1005" s="17"/>
      <c r="CS1005" s="17"/>
      <c r="CT1005" s="17"/>
      <c r="CU1005" s="17"/>
      <c r="CV1005" s="17"/>
      <c r="CW1005" s="17"/>
      <c r="CX1005" s="17"/>
      <c r="CY1005" s="17"/>
      <c r="CZ1005" s="17"/>
      <c r="DA1005" s="17"/>
      <c r="DB1005" s="17"/>
      <c r="DC1005" s="17"/>
      <c r="DD1005" s="17"/>
      <c r="DE1005" s="17"/>
      <c r="DF1005" s="17"/>
      <c r="DG1005" s="17"/>
      <c r="DH1005" s="17"/>
      <c r="DI1005" s="17"/>
      <c r="DJ1005" s="17"/>
      <c r="DK1005" s="17"/>
      <c r="DL1005" s="17"/>
      <c r="DM1005" s="17"/>
      <c r="DN1005" s="17"/>
      <c r="DO1005" s="17"/>
      <c r="DP1005" s="17"/>
      <c r="DQ1005" s="17"/>
      <c r="DR1005" s="17"/>
      <c r="DS1005" s="17"/>
      <c r="DT1005" s="17"/>
      <c r="DU1005" s="17"/>
      <c r="DV1005" s="17"/>
      <c r="DW1005" s="17"/>
    </row>
    <row r="1006" spans="1:127" ht="18" customHeight="1">
      <c r="A1006" s="16"/>
      <c r="B1006" s="16"/>
      <c r="C1006" s="16"/>
      <c r="D1006" s="16"/>
      <c r="E1006" s="16"/>
      <c r="F1006" s="16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  <c r="BK1006" s="17"/>
      <c r="BL1006" s="17"/>
      <c r="BM1006" s="17"/>
      <c r="BN1006" s="17"/>
      <c r="BO1006" s="17"/>
      <c r="BP1006" s="17"/>
      <c r="BQ1006" s="17"/>
      <c r="BR1006" s="17"/>
      <c r="BS1006" s="17"/>
      <c r="BT1006" s="17"/>
      <c r="BU1006" s="17"/>
      <c r="BV1006" s="17"/>
      <c r="BW1006" s="17"/>
      <c r="BX1006" s="17"/>
      <c r="BY1006" s="17"/>
      <c r="BZ1006" s="17"/>
      <c r="CA1006" s="17"/>
      <c r="CB1006" s="17"/>
      <c r="CC1006" s="17"/>
      <c r="CD1006" s="17"/>
      <c r="CE1006" s="17"/>
      <c r="CF1006" s="17"/>
      <c r="CG1006" s="17"/>
      <c r="CH1006" s="17"/>
      <c r="CI1006" s="17"/>
      <c r="CJ1006" s="17"/>
      <c r="CK1006" s="17"/>
      <c r="CL1006" s="17"/>
      <c r="CM1006" s="17"/>
      <c r="CN1006" s="17"/>
      <c r="CO1006" s="17"/>
      <c r="CP1006" s="17"/>
      <c r="CQ1006" s="17"/>
      <c r="CR1006" s="17"/>
      <c r="CS1006" s="17"/>
      <c r="CT1006" s="17"/>
      <c r="CU1006" s="17"/>
      <c r="CV1006" s="17"/>
      <c r="CW1006" s="17"/>
      <c r="CX1006" s="17"/>
      <c r="CY1006" s="17"/>
      <c r="CZ1006" s="17"/>
      <c r="DA1006" s="17"/>
      <c r="DB1006" s="17"/>
      <c r="DC1006" s="17"/>
      <c r="DD1006" s="17"/>
      <c r="DE1006" s="17"/>
      <c r="DF1006" s="17"/>
      <c r="DG1006" s="17"/>
      <c r="DH1006" s="17"/>
      <c r="DI1006" s="17"/>
      <c r="DJ1006" s="17"/>
      <c r="DK1006" s="17"/>
      <c r="DL1006" s="17"/>
      <c r="DM1006" s="17"/>
      <c r="DN1006" s="17"/>
      <c r="DO1006" s="17"/>
      <c r="DP1006" s="17"/>
      <c r="DQ1006" s="17"/>
      <c r="DR1006" s="17"/>
      <c r="DS1006" s="17"/>
      <c r="DT1006" s="17"/>
      <c r="DU1006" s="17"/>
      <c r="DV1006" s="17"/>
      <c r="DW1006" s="17"/>
    </row>
    <row r="1007" spans="1:127" ht="18" customHeight="1">
      <c r="A1007" s="16"/>
      <c r="B1007" s="16"/>
      <c r="C1007" s="16"/>
      <c r="D1007" s="16"/>
      <c r="E1007" s="16"/>
      <c r="F1007" s="16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  <c r="BK1007" s="17"/>
      <c r="BL1007" s="17"/>
      <c r="BM1007" s="17"/>
      <c r="BN1007" s="17"/>
      <c r="BO1007" s="17"/>
      <c r="BP1007" s="17"/>
      <c r="BQ1007" s="17"/>
      <c r="BR1007" s="17"/>
      <c r="BS1007" s="17"/>
      <c r="BT1007" s="17"/>
      <c r="BU1007" s="17"/>
      <c r="BV1007" s="17"/>
      <c r="BW1007" s="17"/>
      <c r="BX1007" s="17"/>
      <c r="BY1007" s="17"/>
      <c r="BZ1007" s="17"/>
      <c r="CA1007" s="17"/>
      <c r="CB1007" s="17"/>
      <c r="CC1007" s="17"/>
      <c r="CD1007" s="17"/>
      <c r="CE1007" s="17"/>
      <c r="CF1007" s="17"/>
      <c r="CG1007" s="17"/>
      <c r="CH1007" s="17"/>
      <c r="CI1007" s="17"/>
      <c r="CJ1007" s="17"/>
      <c r="CK1007" s="17"/>
      <c r="CL1007" s="17"/>
      <c r="CM1007" s="17"/>
      <c r="CN1007" s="17"/>
      <c r="CO1007" s="17"/>
      <c r="CP1007" s="17"/>
      <c r="CQ1007" s="17"/>
      <c r="CR1007" s="17"/>
      <c r="CS1007" s="17"/>
      <c r="CT1007" s="17"/>
      <c r="CU1007" s="17"/>
      <c r="CV1007" s="17"/>
      <c r="CW1007" s="17"/>
      <c r="CX1007" s="17"/>
      <c r="CY1007" s="17"/>
      <c r="CZ1007" s="17"/>
      <c r="DA1007" s="17"/>
      <c r="DB1007" s="17"/>
      <c r="DC1007" s="17"/>
      <c r="DD1007" s="17"/>
      <c r="DE1007" s="17"/>
      <c r="DF1007" s="17"/>
      <c r="DG1007" s="17"/>
      <c r="DH1007" s="17"/>
      <c r="DI1007" s="17"/>
      <c r="DJ1007" s="17"/>
      <c r="DK1007" s="17"/>
      <c r="DL1007" s="17"/>
      <c r="DM1007" s="17"/>
      <c r="DN1007" s="17"/>
      <c r="DO1007" s="17"/>
      <c r="DP1007" s="17"/>
      <c r="DQ1007" s="17"/>
      <c r="DR1007" s="17"/>
      <c r="DS1007" s="17"/>
      <c r="DT1007" s="17"/>
      <c r="DU1007" s="17"/>
      <c r="DV1007" s="17"/>
      <c r="DW1007" s="17"/>
    </row>
    <row r="1008" spans="1:127" ht="18" customHeight="1">
      <c r="A1008" s="16"/>
      <c r="B1008" s="16"/>
      <c r="C1008" s="16"/>
      <c r="D1008" s="16"/>
      <c r="E1008" s="16"/>
      <c r="F1008" s="16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  <c r="BK1008" s="17"/>
      <c r="BL1008" s="17"/>
      <c r="BM1008" s="17"/>
      <c r="BN1008" s="17"/>
      <c r="BO1008" s="17"/>
      <c r="BP1008" s="17"/>
      <c r="BQ1008" s="17"/>
      <c r="BR1008" s="17"/>
      <c r="BS1008" s="17"/>
      <c r="BT1008" s="17"/>
      <c r="BU1008" s="17"/>
      <c r="BV1008" s="17"/>
      <c r="BW1008" s="17"/>
      <c r="BX1008" s="17"/>
      <c r="BY1008" s="17"/>
      <c r="BZ1008" s="17"/>
      <c r="CA1008" s="17"/>
      <c r="CB1008" s="17"/>
      <c r="CC1008" s="17"/>
      <c r="CD1008" s="17"/>
      <c r="CE1008" s="17"/>
      <c r="CF1008" s="17"/>
      <c r="CG1008" s="17"/>
      <c r="CH1008" s="17"/>
      <c r="CI1008" s="17"/>
      <c r="CJ1008" s="17"/>
      <c r="CK1008" s="17"/>
      <c r="CL1008" s="17"/>
      <c r="CM1008" s="17"/>
      <c r="CN1008" s="17"/>
      <c r="CO1008" s="17"/>
      <c r="CP1008" s="17"/>
      <c r="CQ1008" s="17"/>
      <c r="CR1008" s="17"/>
      <c r="CS1008" s="17"/>
      <c r="CT1008" s="17"/>
      <c r="CU1008" s="17"/>
      <c r="CV1008" s="17"/>
      <c r="CW1008" s="17"/>
      <c r="CX1008" s="17"/>
      <c r="CY1008" s="17"/>
      <c r="CZ1008" s="17"/>
      <c r="DA1008" s="17"/>
      <c r="DB1008" s="17"/>
      <c r="DC1008" s="17"/>
      <c r="DD1008" s="17"/>
      <c r="DE1008" s="17"/>
      <c r="DF1008" s="17"/>
      <c r="DG1008" s="17"/>
      <c r="DH1008" s="17"/>
      <c r="DI1008" s="17"/>
      <c r="DJ1008" s="17"/>
      <c r="DK1008" s="17"/>
      <c r="DL1008" s="17"/>
      <c r="DM1008" s="17"/>
      <c r="DN1008" s="17"/>
      <c r="DO1008" s="17"/>
      <c r="DP1008" s="17"/>
      <c r="DQ1008" s="17"/>
      <c r="DR1008" s="17"/>
      <c r="DS1008" s="17"/>
      <c r="DT1008" s="17"/>
      <c r="DU1008" s="17"/>
      <c r="DV1008" s="17"/>
      <c r="DW1008" s="17"/>
    </row>
  </sheetData>
  <mergeCells count="2">
    <mergeCell ref="A4:B4"/>
    <mergeCell ref="A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8"/>
  <sheetViews>
    <sheetView showGridLines="0" tabSelected="1" workbookViewId="0">
      <selection activeCell="A6" sqref="A6:F6"/>
    </sheetView>
  </sheetViews>
  <sheetFormatPr defaultColWidth="12.6328125" defaultRowHeight="15.75" customHeight="1"/>
  <cols>
    <col min="1" max="1" width="14.36328125" customWidth="1"/>
    <col min="2" max="2" width="15.7265625" customWidth="1"/>
    <col min="3" max="3" width="16.90625" customWidth="1"/>
    <col min="4" max="4" width="18.7265625" customWidth="1"/>
    <col min="5" max="5" width="16.90625" customWidth="1"/>
    <col min="6" max="6" width="11.08984375" customWidth="1"/>
    <col min="7" max="7" width="6.08984375" customWidth="1"/>
  </cols>
  <sheetData>
    <row r="1" spans="1:7" ht="6" customHeight="1">
      <c r="A1" s="1"/>
      <c r="B1" s="2"/>
      <c r="C1" s="3"/>
      <c r="D1" s="3"/>
      <c r="E1" s="3"/>
      <c r="F1" s="3"/>
      <c r="G1" s="1"/>
    </row>
    <row r="2" spans="1:7" ht="18" customHeight="1">
      <c r="A2" s="4"/>
      <c r="B2" s="5"/>
      <c r="C2" s="6"/>
      <c r="D2" s="6"/>
      <c r="E2" s="6"/>
      <c r="F2" s="6"/>
      <c r="G2" s="7"/>
    </row>
    <row r="3" spans="1:7" ht="19.5" customHeight="1">
      <c r="A3" s="8" t="s">
        <v>0</v>
      </c>
      <c r="B3" s="20"/>
      <c r="C3" s="21"/>
      <c r="D3" s="22"/>
      <c r="E3" s="10"/>
      <c r="F3" s="10"/>
      <c r="G3" s="7"/>
    </row>
    <row r="4" spans="1:7" ht="13">
      <c r="A4" s="34"/>
      <c r="B4" s="35"/>
      <c r="C4" s="23"/>
      <c r="D4" s="23"/>
      <c r="E4" s="11"/>
      <c r="F4" s="11"/>
      <c r="G4" s="12"/>
    </row>
    <row r="5" spans="1:7" ht="18" customHeight="1">
      <c r="A5" s="13"/>
      <c r="B5" s="24"/>
      <c r="C5" s="24"/>
      <c r="D5" s="24"/>
      <c r="E5" s="14"/>
      <c r="F5" s="14"/>
      <c r="G5" s="15"/>
    </row>
    <row r="6" spans="1:7" ht="41.5" customHeight="1">
      <c r="A6" s="36" t="s">
        <v>188</v>
      </c>
      <c r="B6" s="35"/>
      <c r="C6" s="35"/>
      <c r="D6" s="35"/>
      <c r="E6" s="35"/>
      <c r="F6" s="35"/>
      <c r="G6" s="15"/>
    </row>
    <row r="7" spans="1:7" ht="13">
      <c r="A7" s="13"/>
      <c r="B7" s="24"/>
      <c r="C7" s="24"/>
      <c r="D7" s="24"/>
      <c r="E7" s="14"/>
      <c r="F7" s="14"/>
      <c r="G7" s="15"/>
    </row>
    <row r="8" spans="1:7" ht="18" customHeight="1">
      <c r="A8" s="16" t="s">
        <v>2</v>
      </c>
      <c r="B8" s="25" t="s">
        <v>189</v>
      </c>
      <c r="C8" s="25" t="s">
        <v>190</v>
      </c>
      <c r="D8" s="25" t="s">
        <v>191</v>
      </c>
      <c r="E8" s="16" t="s">
        <v>192</v>
      </c>
      <c r="F8" s="16"/>
      <c r="G8" s="17"/>
    </row>
    <row r="9" spans="1:7" ht="18" customHeight="1">
      <c r="A9" s="26" t="s">
        <v>7</v>
      </c>
      <c r="B9" s="27">
        <v>24</v>
      </c>
      <c r="C9" s="27">
        <f>IFERROR(SUMIF(Sales!C:C, A9, Sales!E:E), 0)</f>
        <v>0</v>
      </c>
      <c r="D9" s="27">
        <f t="shared" ref="D9:D94" si="0">IFERROR(B10 - C10, 0)</f>
        <v>23</v>
      </c>
      <c r="E9" s="28" t="str">
        <f t="shared" ref="E9:E94" si="1">IF(D9&lt;5, "Low", "Ok")</f>
        <v>Ok</v>
      </c>
      <c r="F9" s="16"/>
      <c r="G9" s="17"/>
    </row>
    <row r="10" spans="1:7" ht="18" customHeight="1">
      <c r="A10" s="26" t="s">
        <v>10</v>
      </c>
      <c r="B10" s="29">
        <v>23</v>
      </c>
      <c r="C10" s="27">
        <f>IFERROR(SUMIF(Sales!C:C, A10, Sales!E:E), 0)</f>
        <v>0</v>
      </c>
      <c r="D10" s="27">
        <f t="shared" si="0"/>
        <v>46</v>
      </c>
      <c r="E10" s="28" t="str">
        <f t="shared" si="1"/>
        <v>Ok</v>
      </c>
      <c r="F10" s="16"/>
      <c r="G10" s="17"/>
    </row>
    <row r="11" spans="1:7" ht="18" customHeight="1">
      <c r="A11" s="26" t="s">
        <v>12</v>
      </c>
      <c r="B11" s="29">
        <v>46</v>
      </c>
      <c r="C11" s="27">
        <f>IFERROR(SUMIF(Sales!C:C, A11, Sales!E:E), 0)</f>
        <v>0</v>
      </c>
      <c r="D11" s="27">
        <f t="shared" si="0"/>
        <v>21</v>
      </c>
      <c r="E11" s="28" t="str">
        <f t="shared" si="1"/>
        <v>Ok</v>
      </c>
      <c r="F11" s="16"/>
      <c r="G11" s="17"/>
    </row>
    <row r="12" spans="1:7" ht="18" customHeight="1">
      <c r="A12" s="26" t="s">
        <v>14</v>
      </c>
      <c r="B12" s="29">
        <v>21</v>
      </c>
      <c r="C12" s="27">
        <f>IFERROR(SUMIF(Sales!C:C, A12, Sales!E:E), 0)</f>
        <v>0</v>
      </c>
      <c r="D12" s="27">
        <f t="shared" si="0"/>
        <v>4</v>
      </c>
      <c r="E12" s="28" t="str">
        <f t="shared" si="1"/>
        <v>Low</v>
      </c>
      <c r="F12" s="16"/>
      <c r="G12" s="17"/>
    </row>
    <row r="13" spans="1:7" ht="18" customHeight="1">
      <c r="A13" s="26" t="s">
        <v>16</v>
      </c>
      <c r="B13" s="29">
        <v>4</v>
      </c>
      <c r="C13" s="27">
        <f>IFERROR(SUMIF(Sales!C:C, A13, Sales!E:E), 0)</f>
        <v>0</v>
      </c>
      <c r="D13" s="27">
        <f t="shared" si="0"/>
        <v>33</v>
      </c>
      <c r="E13" s="28" t="str">
        <f t="shared" si="1"/>
        <v>Ok</v>
      </c>
      <c r="F13" s="16"/>
      <c r="G13" s="17"/>
    </row>
    <row r="14" spans="1:7" ht="18" customHeight="1">
      <c r="A14" s="26" t="s">
        <v>18</v>
      </c>
      <c r="B14" s="29">
        <v>33</v>
      </c>
      <c r="C14" s="27">
        <f>IFERROR(SUMIF(Sales!C:C, A14, Sales!E:E), 0)</f>
        <v>0</v>
      </c>
      <c r="D14" s="27">
        <f t="shared" si="0"/>
        <v>8</v>
      </c>
      <c r="E14" s="28" t="str">
        <f t="shared" si="1"/>
        <v>Ok</v>
      </c>
      <c r="F14" s="16"/>
      <c r="G14" s="17"/>
    </row>
    <row r="15" spans="1:7" ht="18" customHeight="1">
      <c r="A15" s="26" t="s">
        <v>20</v>
      </c>
      <c r="B15" s="29">
        <v>8</v>
      </c>
      <c r="C15" s="27">
        <f>IFERROR(SUMIF(Sales!C:C, A15, Sales!E:E), 0)</f>
        <v>0</v>
      </c>
      <c r="D15" s="27">
        <f t="shared" si="0"/>
        <v>5</v>
      </c>
      <c r="E15" s="28" t="str">
        <f t="shared" si="1"/>
        <v>Ok</v>
      </c>
      <c r="F15" s="16"/>
      <c r="G15" s="17"/>
    </row>
    <row r="16" spans="1:7" ht="18" customHeight="1">
      <c r="A16" s="26" t="s">
        <v>22</v>
      </c>
      <c r="B16" s="29">
        <v>5</v>
      </c>
      <c r="C16" s="27">
        <f>IFERROR(SUMIF(Sales!C:C, A16, Sales!E:E), 0)</f>
        <v>0</v>
      </c>
      <c r="D16" s="27">
        <f t="shared" si="0"/>
        <v>22</v>
      </c>
      <c r="E16" s="28" t="str">
        <f t="shared" si="1"/>
        <v>Ok</v>
      </c>
      <c r="F16" s="16"/>
      <c r="G16" s="17"/>
    </row>
    <row r="17" spans="1:7" ht="18" customHeight="1">
      <c r="A17" s="26" t="s">
        <v>24</v>
      </c>
      <c r="B17" s="29">
        <v>22</v>
      </c>
      <c r="C17" s="27">
        <f>IFERROR(SUMIF(Sales!C:C, A17, Sales!E:E), 0)</f>
        <v>0</v>
      </c>
      <c r="D17" s="27">
        <f t="shared" si="0"/>
        <v>35</v>
      </c>
      <c r="E17" s="28" t="str">
        <f t="shared" si="1"/>
        <v>Ok</v>
      </c>
      <c r="F17" s="16"/>
      <c r="G17" s="17"/>
    </row>
    <row r="18" spans="1:7" ht="18" customHeight="1">
      <c r="A18" s="26" t="s">
        <v>26</v>
      </c>
      <c r="B18" s="29">
        <v>35</v>
      </c>
      <c r="C18" s="27">
        <f>IFERROR(SUMIF(Sales!C:C, A18, Sales!E:E), 0)</f>
        <v>0</v>
      </c>
      <c r="D18" s="27">
        <f t="shared" si="0"/>
        <v>6</v>
      </c>
      <c r="E18" s="28" t="str">
        <f t="shared" si="1"/>
        <v>Ok</v>
      </c>
      <c r="F18" s="16"/>
      <c r="G18" s="17"/>
    </row>
    <row r="19" spans="1:7" ht="18" customHeight="1">
      <c r="A19" s="26" t="s">
        <v>28</v>
      </c>
      <c r="B19" s="29">
        <v>6</v>
      </c>
      <c r="C19" s="27">
        <f>IFERROR(SUMIF(Sales!C:C, A19, Sales!E:E), 0)</f>
        <v>0</v>
      </c>
      <c r="D19" s="27">
        <f t="shared" si="0"/>
        <v>3</v>
      </c>
      <c r="E19" s="28" t="str">
        <f t="shared" si="1"/>
        <v>Low</v>
      </c>
      <c r="F19" s="16"/>
      <c r="G19" s="17"/>
    </row>
    <row r="20" spans="1:7" ht="18" customHeight="1">
      <c r="A20" s="26" t="s">
        <v>30</v>
      </c>
      <c r="B20" s="29">
        <v>4</v>
      </c>
      <c r="C20" s="27">
        <f>IFERROR(SUMIF(Sales!C:C, A20, Sales!E:E), 0)</f>
        <v>1</v>
      </c>
      <c r="D20" s="27">
        <f t="shared" si="0"/>
        <v>23</v>
      </c>
      <c r="E20" s="28" t="str">
        <f t="shared" si="1"/>
        <v>Ok</v>
      </c>
      <c r="F20" s="16"/>
      <c r="G20" s="17"/>
    </row>
    <row r="21" spans="1:7" ht="18" customHeight="1">
      <c r="A21" s="26" t="s">
        <v>32</v>
      </c>
      <c r="B21" s="29">
        <v>23</v>
      </c>
      <c r="C21" s="27">
        <f>IFERROR(SUMIF(Sales!C:C, A21, Sales!E:E), 0)</f>
        <v>0</v>
      </c>
      <c r="D21" s="27">
        <f t="shared" si="0"/>
        <v>34</v>
      </c>
      <c r="E21" s="28" t="str">
        <f t="shared" si="1"/>
        <v>Ok</v>
      </c>
      <c r="F21" s="16"/>
      <c r="G21" s="17"/>
    </row>
    <row r="22" spans="1:7" ht="18" customHeight="1">
      <c r="A22" s="26" t="s">
        <v>34</v>
      </c>
      <c r="B22" s="29">
        <v>34</v>
      </c>
      <c r="C22" s="27">
        <f>IFERROR(SUMIF(Sales!C:C, A22, Sales!E:E), 0)</f>
        <v>0</v>
      </c>
      <c r="D22" s="27">
        <f t="shared" si="0"/>
        <v>13</v>
      </c>
      <c r="E22" s="28" t="str">
        <f t="shared" si="1"/>
        <v>Ok</v>
      </c>
      <c r="F22" s="16"/>
      <c r="G22" s="17"/>
    </row>
    <row r="23" spans="1:7" ht="18" customHeight="1">
      <c r="A23" s="26" t="s">
        <v>36</v>
      </c>
      <c r="B23" s="29">
        <v>13</v>
      </c>
      <c r="C23" s="27">
        <f>IFERROR(SUMIF(Sales!C:C, A23, Sales!E:E), 0)</f>
        <v>0</v>
      </c>
      <c r="D23" s="27">
        <f t="shared" si="0"/>
        <v>5</v>
      </c>
      <c r="E23" s="28" t="str">
        <f t="shared" si="1"/>
        <v>Ok</v>
      </c>
      <c r="F23" s="16"/>
      <c r="G23" s="17"/>
    </row>
    <row r="24" spans="1:7" ht="18" customHeight="1">
      <c r="A24" s="26" t="s">
        <v>38</v>
      </c>
      <c r="B24" s="29">
        <v>6</v>
      </c>
      <c r="C24" s="27">
        <f>IFERROR(SUMIF(Sales!C:C, A24, Sales!E:E), 0)</f>
        <v>1</v>
      </c>
      <c r="D24" s="27">
        <f t="shared" si="0"/>
        <v>35</v>
      </c>
      <c r="E24" s="28" t="str">
        <f t="shared" si="1"/>
        <v>Ok</v>
      </c>
      <c r="F24" s="16"/>
      <c r="G24" s="17"/>
    </row>
    <row r="25" spans="1:7" ht="18" customHeight="1">
      <c r="A25" s="26" t="s">
        <v>40</v>
      </c>
      <c r="B25" s="29">
        <v>35</v>
      </c>
      <c r="C25" s="27">
        <f>IFERROR(SUMIF(Sales!C:C, A25, Sales!E:E), 0)</f>
        <v>0</v>
      </c>
      <c r="D25" s="27">
        <f t="shared" si="0"/>
        <v>2</v>
      </c>
      <c r="E25" s="28" t="str">
        <f t="shared" si="1"/>
        <v>Low</v>
      </c>
      <c r="F25" s="16"/>
      <c r="G25" s="17"/>
    </row>
    <row r="26" spans="1:7" ht="18" customHeight="1">
      <c r="A26" s="26" t="s">
        <v>42</v>
      </c>
      <c r="B26" s="29">
        <v>2</v>
      </c>
      <c r="C26" s="27">
        <f>IFERROR(SUMIF(Sales!C:C, A26, Sales!E:E), 0)</f>
        <v>0</v>
      </c>
      <c r="D26" s="27">
        <f t="shared" si="0"/>
        <v>35</v>
      </c>
      <c r="E26" s="28" t="str">
        <f t="shared" si="1"/>
        <v>Ok</v>
      </c>
      <c r="F26" s="16"/>
      <c r="G26" s="17"/>
    </row>
    <row r="27" spans="1:7" ht="18" customHeight="1">
      <c r="A27" s="26" t="s">
        <v>44</v>
      </c>
      <c r="B27" s="29">
        <v>35</v>
      </c>
      <c r="C27" s="27">
        <f>IFERROR(SUMIF(Sales!C:C, A27, Sales!E:E), 0)</f>
        <v>0</v>
      </c>
      <c r="D27" s="27">
        <f t="shared" si="0"/>
        <v>5</v>
      </c>
      <c r="E27" s="28" t="str">
        <f t="shared" si="1"/>
        <v>Ok</v>
      </c>
      <c r="F27" s="16"/>
      <c r="G27" s="17"/>
    </row>
    <row r="28" spans="1:7" ht="18" customHeight="1">
      <c r="A28" s="26" t="s">
        <v>46</v>
      </c>
      <c r="B28" s="29">
        <v>5</v>
      </c>
      <c r="C28" s="27">
        <f>IFERROR(SUMIF(Sales!C:C, A28, Sales!E:E), 0)</f>
        <v>0</v>
      </c>
      <c r="D28" s="27">
        <f t="shared" si="0"/>
        <v>9</v>
      </c>
      <c r="E28" s="28" t="str">
        <f t="shared" si="1"/>
        <v>Ok</v>
      </c>
      <c r="F28" s="16"/>
      <c r="G28" s="17"/>
    </row>
    <row r="29" spans="1:7" ht="18" customHeight="1">
      <c r="A29" s="26" t="s">
        <v>48</v>
      </c>
      <c r="B29" s="29">
        <v>9</v>
      </c>
      <c r="C29" s="27">
        <f>IFERROR(SUMIF(Sales!C:C, A29, Sales!E:E), 0)</f>
        <v>0</v>
      </c>
      <c r="D29" s="27">
        <f t="shared" si="0"/>
        <v>6</v>
      </c>
      <c r="E29" s="28" t="str">
        <f t="shared" si="1"/>
        <v>Ok</v>
      </c>
      <c r="F29" s="16"/>
      <c r="G29" s="17"/>
    </row>
    <row r="30" spans="1:7" ht="18" customHeight="1">
      <c r="A30" s="26" t="s">
        <v>50</v>
      </c>
      <c r="B30" s="29">
        <v>6</v>
      </c>
      <c r="C30" s="27">
        <f>IFERROR(SUMIF(Sales!C:C, A30, Sales!E:E), 0)</f>
        <v>0</v>
      </c>
      <c r="D30" s="27">
        <f t="shared" si="0"/>
        <v>3</v>
      </c>
      <c r="E30" s="28" t="str">
        <f t="shared" si="1"/>
        <v>Low</v>
      </c>
      <c r="F30" s="16"/>
      <c r="G30" s="17"/>
    </row>
    <row r="31" spans="1:7" ht="18" customHeight="1">
      <c r="A31" s="26" t="s">
        <v>52</v>
      </c>
      <c r="B31" s="29">
        <v>3</v>
      </c>
      <c r="C31" s="27">
        <f>IFERROR(SUMIF(Sales!C:C, A31, Sales!E:E), 0)</f>
        <v>0</v>
      </c>
      <c r="D31" s="27">
        <f t="shared" si="0"/>
        <v>12</v>
      </c>
      <c r="E31" s="28" t="str">
        <f t="shared" si="1"/>
        <v>Ok</v>
      </c>
      <c r="F31" s="16"/>
      <c r="G31" s="17"/>
    </row>
    <row r="32" spans="1:7" ht="18" customHeight="1">
      <c r="A32" s="26" t="s">
        <v>54</v>
      </c>
      <c r="B32" s="29">
        <v>12</v>
      </c>
      <c r="C32" s="27">
        <f>IFERROR(SUMIF(Sales!C:C, A32, Sales!E:E), 0)</f>
        <v>0</v>
      </c>
      <c r="D32" s="27">
        <f t="shared" si="0"/>
        <v>15</v>
      </c>
      <c r="E32" s="28" t="str">
        <f t="shared" si="1"/>
        <v>Ok</v>
      </c>
      <c r="F32" s="16"/>
      <c r="G32" s="17"/>
    </row>
    <row r="33" spans="1:7" ht="18" customHeight="1">
      <c r="A33" s="26" t="s">
        <v>56</v>
      </c>
      <c r="B33" s="29">
        <v>16</v>
      </c>
      <c r="C33" s="27">
        <f>IFERROR(SUMIF(Sales!C:C, A33, Sales!E:E), 0)</f>
        <v>1</v>
      </c>
      <c r="D33" s="27">
        <f t="shared" si="0"/>
        <v>32</v>
      </c>
      <c r="E33" s="28" t="str">
        <f t="shared" si="1"/>
        <v>Ok</v>
      </c>
      <c r="F33" s="16"/>
      <c r="G33" s="17"/>
    </row>
    <row r="34" spans="1:7" ht="18" customHeight="1">
      <c r="A34" s="26" t="s">
        <v>58</v>
      </c>
      <c r="B34" s="29">
        <v>32</v>
      </c>
      <c r="C34" s="27">
        <f>IFERROR(SUMIF(Sales!C:C, A34, Sales!E:E), 0)</f>
        <v>0</v>
      </c>
      <c r="D34" s="27">
        <f t="shared" si="0"/>
        <v>25</v>
      </c>
      <c r="E34" s="28" t="str">
        <f t="shared" si="1"/>
        <v>Ok</v>
      </c>
      <c r="F34" s="16"/>
      <c r="G34" s="17"/>
    </row>
    <row r="35" spans="1:7" ht="18" customHeight="1">
      <c r="A35" s="26" t="s">
        <v>60</v>
      </c>
      <c r="B35" s="29">
        <v>25</v>
      </c>
      <c r="C35" s="27">
        <f>IFERROR(SUMIF(Sales!C:C, A35, Sales!E:E), 0)</f>
        <v>0</v>
      </c>
      <c r="D35" s="27">
        <f t="shared" si="0"/>
        <v>5</v>
      </c>
      <c r="E35" s="28" t="str">
        <f t="shared" si="1"/>
        <v>Ok</v>
      </c>
      <c r="F35" s="16"/>
      <c r="G35" s="17"/>
    </row>
    <row r="36" spans="1:7" ht="18" customHeight="1">
      <c r="A36" s="26" t="s">
        <v>62</v>
      </c>
      <c r="B36" s="29">
        <v>5</v>
      </c>
      <c r="C36" s="27">
        <f>IFERROR(SUMIF(Sales!C:C, A36, Sales!E:E), 0)</f>
        <v>0</v>
      </c>
      <c r="D36" s="27">
        <f t="shared" si="0"/>
        <v>32</v>
      </c>
      <c r="E36" s="28" t="str">
        <f t="shared" si="1"/>
        <v>Ok</v>
      </c>
      <c r="F36" s="16"/>
      <c r="G36" s="17"/>
    </row>
    <row r="37" spans="1:7" ht="18" customHeight="1">
      <c r="A37" s="26" t="s">
        <v>64</v>
      </c>
      <c r="B37" s="29">
        <v>32</v>
      </c>
      <c r="C37" s="27">
        <f>IFERROR(SUMIF(Sales!C:C, A37, Sales!E:E), 0)</f>
        <v>0</v>
      </c>
      <c r="D37" s="27">
        <f t="shared" si="0"/>
        <v>0</v>
      </c>
      <c r="E37" s="28" t="str">
        <f t="shared" si="1"/>
        <v>Low</v>
      </c>
      <c r="F37" s="16"/>
      <c r="G37" s="17"/>
    </row>
    <row r="38" spans="1:7" ht="18" customHeight="1">
      <c r="A38" s="26" t="s">
        <v>66</v>
      </c>
      <c r="B38" s="29">
        <v>0</v>
      </c>
      <c r="C38" s="27">
        <f>IFERROR(SUMIF(Sales!C:C, A38, Sales!E:E), 0)</f>
        <v>0</v>
      </c>
      <c r="D38" s="27">
        <f t="shared" si="0"/>
        <v>13</v>
      </c>
      <c r="E38" s="28" t="str">
        <f t="shared" si="1"/>
        <v>Ok</v>
      </c>
      <c r="F38" s="16"/>
      <c r="G38" s="17"/>
    </row>
    <row r="39" spans="1:7" ht="18" customHeight="1">
      <c r="A39" s="26" t="s">
        <v>68</v>
      </c>
      <c r="B39" s="29">
        <v>13</v>
      </c>
      <c r="C39" s="27">
        <f>IFERROR(SUMIF(Sales!C:C, A39, Sales!E:E), 0)</f>
        <v>0</v>
      </c>
      <c r="D39" s="27">
        <f t="shared" si="0"/>
        <v>22</v>
      </c>
      <c r="E39" s="28" t="str">
        <f t="shared" si="1"/>
        <v>Ok</v>
      </c>
      <c r="F39" s="16"/>
      <c r="G39" s="17"/>
    </row>
    <row r="40" spans="1:7" ht="18" customHeight="1">
      <c r="A40" s="26" t="s">
        <v>71</v>
      </c>
      <c r="B40" s="29">
        <v>22</v>
      </c>
      <c r="C40" s="27">
        <f>IFERROR(SUMIF(Sales!C:C, A40, Sales!E:E), 0)</f>
        <v>0</v>
      </c>
      <c r="D40" s="27">
        <f t="shared" si="0"/>
        <v>1</v>
      </c>
      <c r="E40" s="28" t="str">
        <f t="shared" si="1"/>
        <v>Low</v>
      </c>
      <c r="F40" s="16"/>
      <c r="G40" s="17"/>
    </row>
    <row r="41" spans="1:7" ht="18" customHeight="1">
      <c r="A41" s="26" t="s">
        <v>73</v>
      </c>
      <c r="B41" s="29">
        <v>1</v>
      </c>
      <c r="C41" s="27">
        <f>IFERROR(SUMIF(Sales!C:C, A41, Sales!E:E), 0)</f>
        <v>0</v>
      </c>
      <c r="D41" s="27">
        <f t="shared" si="0"/>
        <v>5</v>
      </c>
      <c r="E41" s="28" t="str">
        <f t="shared" si="1"/>
        <v>Ok</v>
      </c>
      <c r="F41" s="16"/>
      <c r="G41" s="17"/>
    </row>
    <row r="42" spans="1:7" ht="18" customHeight="1">
      <c r="A42" s="26" t="s">
        <v>75</v>
      </c>
      <c r="B42" s="29">
        <v>5</v>
      </c>
      <c r="C42" s="27">
        <f>IFERROR(SUMIF(Sales!C:C, A42, Sales!E:E), 0)</f>
        <v>0</v>
      </c>
      <c r="D42" s="27">
        <f t="shared" si="0"/>
        <v>34</v>
      </c>
      <c r="E42" s="28" t="str">
        <f t="shared" si="1"/>
        <v>Ok</v>
      </c>
      <c r="F42" s="16"/>
      <c r="G42" s="17"/>
    </row>
    <row r="43" spans="1:7" ht="18" customHeight="1">
      <c r="A43" s="26" t="s">
        <v>77</v>
      </c>
      <c r="B43" s="29">
        <v>34</v>
      </c>
      <c r="C43" s="27">
        <f>IFERROR(SUMIF(Sales!C:C, A43, Sales!E:E), 0)</f>
        <v>0</v>
      </c>
      <c r="D43" s="27">
        <f t="shared" si="0"/>
        <v>32</v>
      </c>
      <c r="E43" s="28" t="str">
        <f t="shared" si="1"/>
        <v>Ok</v>
      </c>
      <c r="F43" s="16"/>
      <c r="G43" s="17"/>
    </row>
    <row r="44" spans="1:7" ht="18" customHeight="1">
      <c r="A44" s="26" t="s">
        <v>79</v>
      </c>
      <c r="B44" s="29">
        <v>32</v>
      </c>
      <c r="C44" s="27">
        <f>IFERROR(SUMIF(Sales!C:C, A44, Sales!E:E), 0)</f>
        <v>0</v>
      </c>
      <c r="D44" s="27">
        <f t="shared" si="0"/>
        <v>43</v>
      </c>
      <c r="E44" s="28" t="str">
        <f t="shared" si="1"/>
        <v>Ok</v>
      </c>
      <c r="F44" s="16"/>
      <c r="G44" s="17"/>
    </row>
    <row r="45" spans="1:7" ht="18" customHeight="1">
      <c r="A45" s="26" t="s">
        <v>81</v>
      </c>
      <c r="B45" s="29">
        <v>43</v>
      </c>
      <c r="C45" s="27">
        <f>IFERROR(SUMIF(Sales!C:C, A45, Sales!E:E), 0)</f>
        <v>0</v>
      </c>
      <c r="D45" s="27">
        <f t="shared" si="0"/>
        <v>23</v>
      </c>
      <c r="E45" s="28" t="str">
        <f t="shared" si="1"/>
        <v>Ok</v>
      </c>
      <c r="F45" s="16"/>
      <c r="G45" s="17"/>
    </row>
    <row r="46" spans="1:7" ht="18" customHeight="1">
      <c r="A46" s="26" t="s">
        <v>83</v>
      </c>
      <c r="B46" s="29">
        <v>23</v>
      </c>
      <c r="C46" s="27">
        <f>IFERROR(SUMIF(Sales!C:C, A46, Sales!E:E), 0)</f>
        <v>0</v>
      </c>
      <c r="D46" s="27">
        <f t="shared" si="0"/>
        <v>12</v>
      </c>
      <c r="E46" s="28" t="str">
        <f t="shared" si="1"/>
        <v>Ok</v>
      </c>
      <c r="F46" s="16"/>
      <c r="G46" s="17"/>
    </row>
    <row r="47" spans="1:7" ht="18" customHeight="1">
      <c r="A47" s="26" t="s">
        <v>85</v>
      </c>
      <c r="B47" s="29">
        <v>12</v>
      </c>
      <c r="C47" s="27">
        <f>IFERROR(SUMIF(Sales!C:C, A47, Sales!E:E), 0)</f>
        <v>0</v>
      </c>
      <c r="D47" s="27">
        <f t="shared" si="0"/>
        <v>25</v>
      </c>
      <c r="E47" s="28" t="str">
        <f t="shared" si="1"/>
        <v>Ok</v>
      </c>
      <c r="F47" s="16"/>
      <c r="G47" s="17"/>
    </row>
    <row r="48" spans="1:7" ht="18" customHeight="1">
      <c r="A48" s="26" t="s">
        <v>87</v>
      </c>
      <c r="B48" s="29">
        <v>25</v>
      </c>
      <c r="C48" s="27">
        <f>IFERROR(SUMIF(Sales!C:C, A48, Sales!E:E), 0)</f>
        <v>0</v>
      </c>
      <c r="D48" s="27">
        <f t="shared" si="0"/>
        <v>41</v>
      </c>
      <c r="E48" s="28" t="str">
        <f t="shared" si="1"/>
        <v>Ok</v>
      </c>
      <c r="F48" s="16"/>
      <c r="G48" s="17"/>
    </row>
    <row r="49" spans="1:7" ht="18" customHeight="1">
      <c r="A49" s="26" t="s">
        <v>89</v>
      </c>
      <c r="B49" s="29">
        <v>41</v>
      </c>
      <c r="C49" s="27">
        <f>IFERROR(SUMIF(Sales!C:C, A49, Sales!E:E), 0)</f>
        <v>0</v>
      </c>
      <c r="D49" s="27">
        <f t="shared" si="0"/>
        <v>26</v>
      </c>
      <c r="E49" s="28" t="str">
        <f t="shared" si="1"/>
        <v>Ok</v>
      </c>
      <c r="F49" s="16"/>
      <c r="G49" s="17"/>
    </row>
    <row r="50" spans="1:7" ht="18" customHeight="1">
      <c r="A50" s="26" t="s">
        <v>92</v>
      </c>
      <c r="B50" s="29">
        <v>26</v>
      </c>
      <c r="C50" s="27">
        <f>IFERROR(SUMIF(Sales!C:C, A50, Sales!E:E), 0)</f>
        <v>0</v>
      </c>
      <c r="D50" s="27">
        <f t="shared" si="0"/>
        <v>39</v>
      </c>
      <c r="E50" s="28" t="str">
        <f t="shared" si="1"/>
        <v>Ok</v>
      </c>
      <c r="F50" s="16"/>
      <c r="G50" s="17"/>
    </row>
    <row r="51" spans="1:7" ht="18" customHeight="1">
      <c r="A51" s="26" t="s">
        <v>94</v>
      </c>
      <c r="B51" s="29">
        <v>39</v>
      </c>
      <c r="C51" s="27">
        <f>IFERROR(SUMIF(Sales!C:C, A51, Sales!E:E), 0)</f>
        <v>0</v>
      </c>
      <c r="D51" s="27">
        <f t="shared" si="0"/>
        <v>18</v>
      </c>
      <c r="E51" s="28" t="str">
        <f t="shared" si="1"/>
        <v>Ok</v>
      </c>
      <c r="F51" s="16"/>
      <c r="G51" s="17"/>
    </row>
    <row r="52" spans="1:7" ht="18" customHeight="1">
      <c r="A52" s="26" t="s">
        <v>96</v>
      </c>
      <c r="B52" s="29">
        <v>18</v>
      </c>
      <c r="C52" s="27">
        <f>IFERROR(SUMIF(Sales!C:C, A52, Sales!E:E), 0)</f>
        <v>0</v>
      </c>
      <c r="D52" s="27">
        <f t="shared" si="0"/>
        <v>34</v>
      </c>
      <c r="E52" s="28" t="str">
        <f t="shared" si="1"/>
        <v>Ok</v>
      </c>
      <c r="F52" s="16"/>
      <c r="G52" s="17"/>
    </row>
    <row r="53" spans="1:7" ht="18" customHeight="1">
      <c r="A53" s="26" t="s">
        <v>98</v>
      </c>
      <c r="B53" s="29">
        <v>34</v>
      </c>
      <c r="C53" s="27">
        <f>IFERROR(SUMIF(Sales!C:C, A53, Sales!E:E), 0)</f>
        <v>0</v>
      </c>
      <c r="D53" s="27">
        <f t="shared" si="0"/>
        <v>12</v>
      </c>
      <c r="E53" s="28" t="str">
        <f t="shared" si="1"/>
        <v>Ok</v>
      </c>
      <c r="F53" s="16"/>
      <c r="G53" s="17"/>
    </row>
    <row r="54" spans="1:7" ht="18" customHeight="1">
      <c r="A54" s="26" t="s">
        <v>100</v>
      </c>
      <c r="B54" s="29">
        <v>12</v>
      </c>
      <c r="C54" s="27">
        <f>IFERROR(SUMIF(Sales!C:C, A54, Sales!E:E), 0)</f>
        <v>0</v>
      </c>
      <c r="D54" s="27">
        <f t="shared" si="0"/>
        <v>6</v>
      </c>
      <c r="E54" s="28" t="str">
        <f t="shared" si="1"/>
        <v>Ok</v>
      </c>
      <c r="F54" s="16"/>
      <c r="G54" s="17"/>
    </row>
    <row r="55" spans="1:7" ht="18" customHeight="1">
      <c r="A55" s="26" t="s">
        <v>102</v>
      </c>
      <c r="B55" s="29">
        <v>6</v>
      </c>
      <c r="C55" s="27">
        <f>IFERROR(SUMIF(Sales!C:C, A55, Sales!E:E), 0)</f>
        <v>0</v>
      </c>
      <c r="D55" s="27">
        <f t="shared" si="0"/>
        <v>0</v>
      </c>
      <c r="E55" s="28" t="str">
        <f t="shared" si="1"/>
        <v>Low</v>
      </c>
      <c r="F55" s="16"/>
      <c r="G55" s="17"/>
    </row>
    <row r="56" spans="1:7" ht="18" customHeight="1">
      <c r="A56" s="26" t="s">
        <v>104</v>
      </c>
      <c r="B56" s="29">
        <v>0</v>
      </c>
      <c r="C56" s="27">
        <f>IFERROR(SUMIF(Sales!C:C, A56, Sales!E:E), 0)</f>
        <v>0</v>
      </c>
      <c r="D56" s="27">
        <f t="shared" si="0"/>
        <v>4</v>
      </c>
      <c r="E56" s="28" t="str">
        <f t="shared" si="1"/>
        <v>Low</v>
      </c>
      <c r="F56" s="16"/>
      <c r="G56" s="17"/>
    </row>
    <row r="57" spans="1:7" ht="18" customHeight="1">
      <c r="A57" s="26" t="s">
        <v>106</v>
      </c>
      <c r="B57" s="29">
        <v>4</v>
      </c>
      <c r="C57" s="27">
        <f>IFERROR(SUMIF(Sales!C:C, A57, Sales!E:E), 0)</f>
        <v>0</v>
      </c>
      <c r="D57" s="27">
        <f t="shared" si="0"/>
        <v>23</v>
      </c>
      <c r="E57" s="28" t="str">
        <f t="shared" si="1"/>
        <v>Ok</v>
      </c>
      <c r="F57" s="16"/>
      <c r="G57" s="17"/>
    </row>
    <row r="58" spans="1:7" ht="18" customHeight="1">
      <c r="A58" s="26" t="s">
        <v>108</v>
      </c>
      <c r="B58" s="29">
        <v>23</v>
      </c>
      <c r="C58" s="27">
        <f>IFERROR(SUMIF(Sales!C:C, A58, Sales!E:E), 0)</f>
        <v>0</v>
      </c>
      <c r="D58" s="27">
        <f t="shared" si="0"/>
        <v>5</v>
      </c>
      <c r="E58" s="28" t="str">
        <f t="shared" si="1"/>
        <v>Ok</v>
      </c>
      <c r="F58" s="16"/>
      <c r="G58" s="17"/>
    </row>
    <row r="59" spans="1:7" ht="18" customHeight="1">
      <c r="A59" s="26" t="s">
        <v>110</v>
      </c>
      <c r="B59" s="29">
        <v>5</v>
      </c>
      <c r="C59" s="27">
        <f>IFERROR(SUMIF(Sales!C:C, A59, Sales!E:E), 0)</f>
        <v>0</v>
      </c>
      <c r="D59" s="27">
        <f t="shared" si="0"/>
        <v>28</v>
      </c>
      <c r="E59" s="28" t="str">
        <f t="shared" si="1"/>
        <v>Ok</v>
      </c>
      <c r="F59" s="16"/>
      <c r="G59" s="17"/>
    </row>
    <row r="60" spans="1:7" ht="18" customHeight="1">
      <c r="A60" s="26" t="s">
        <v>113</v>
      </c>
      <c r="B60" s="29">
        <v>28</v>
      </c>
      <c r="C60" s="27">
        <f>IFERROR(SUMIF(Sales!C:C, A60, Sales!E:E), 0)</f>
        <v>0</v>
      </c>
      <c r="D60" s="27">
        <f t="shared" si="0"/>
        <v>39</v>
      </c>
      <c r="E60" s="28" t="str">
        <f t="shared" si="1"/>
        <v>Ok</v>
      </c>
      <c r="F60" s="16"/>
      <c r="G60" s="17"/>
    </row>
    <row r="61" spans="1:7" ht="18" customHeight="1">
      <c r="A61" s="26" t="s">
        <v>115</v>
      </c>
      <c r="B61" s="29">
        <v>39</v>
      </c>
      <c r="C61" s="27">
        <f>IFERROR(SUMIF(Sales!C:C, A61, Sales!E:E), 0)</f>
        <v>0</v>
      </c>
      <c r="D61" s="27">
        <f t="shared" si="0"/>
        <v>17</v>
      </c>
      <c r="E61" s="28" t="str">
        <f t="shared" si="1"/>
        <v>Ok</v>
      </c>
      <c r="F61" s="16"/>
      <c r="G61" s="17"/>
    </row>
    <row r="62" spans="1:7" ht="18" customHeight="1">
      <c r="A62" s="26" t="s">
        <v>117</v>
      </c>
      <c r="B62" s="29">
        <v>17</v>
      </c>
      <c r="C62" s="27">
        <f>IFERROR(SUMIF(Sales!C:C, A62, Sales!E:E), 0)</f>
        <v>0</v>
      </c>
      <c r="D62" s="27">
        <f t="shared" si="0"/>
        <v>4</v>
      </c>
      <c r="E62" s="28" t="str">
        <f t="shared" si="1"/>
        <v>Low</v>
      </c>
      <c r="F62" s="16"/>
      <c r="G62" s="17"/>
    </row>
    <row r="63" spans="1:7" ht="18" customHeight="1">
      <c r="A63" s="26" t="s">
        <v>119</v>
      </c>
      <c r="B63" s="29">
        <v>4</v>
      </c>
      <c r="C63" s="27">
        <f>IFERROR(SUMIF(Sales!C:C, A63, Sales!E:E), 0)</f>
        <v>0</v>
      </c>
      <c r="D63" s="27">
        <f t="shared" si="0"/>
        <v>2</v>
      </c>
      <c r="E63" s="28" t="str">
        <f t="shared" si="1"/>
        <v>Low</v>
      </c>
      <c r="F63" s="16"/>
      <c r="G63" s="17"/>
    </row>
    <row r="64" spans="1:7" ht="18" customHeight="1">
      <c r="A64" s="26" t="s">
        <v>121</v>
      </c>
      <c r="B64" s="29">
        <v>2</v>
      </c>
      <c r="C64" s="27">
        <f>IFERROR(SUMIF(Sales!C:C, A64, Sales!E:E), 0)</f>
        <v>0</v>
      </c>
      <c r="D64" s="27">
        <f t="shared" si="0"/>
        <v>8</v>
      </c>
      <c r="E64" s="28" t="str">
        <f t="shared" si="1"/>
        <v>Ok</v>
      </c>
      <c r="F64" s="16"/>
      <c r="G64" s="17"/>
    </row>
    <row r="65" spans="1:7" ht="18" customHeight="1">
      <c r="A65" s="26" t="s">
        <v>123</v>
      </c>
      <c r="B65" s="29">
        <v>8</v>
      </c>
      <c r="C65" s="27">
        <f>IFERROR(SUMIF(Sales!C:C, A65, Sales!E:E), 0)</f>
        <v>0</v>
      </c>
      <c r="D65" s="27">
        <f t="shared" si="0"/>
        <v>30</v>
      </c>
      <c r="E65" s="28" t="str">
        <f t="shared" si="1"/>
        <v>Ok</v>
      </c>
      <c r="F65" s="16"/>
      <c r="G65" s="17"/>
    </row>
    <row r="66" spans="1:7" ht="18" customHeight="1">
      <c r="A66" s="26" t="s">
        <v>126</v>
      </c>
      <c r="B66" s="29">
        <v>30</v>
      </c>
      <c r="C66" s="27">
        <f>IFERROR(SUMIF(Sales!C:C, A66, Sales!E:E), 0)</f>
        <v>0</v>
      </c>
      <c r="D66" s="27">
        <f t="shared" si="0"/>
        <v>36</v>
      </c>
      <c r="E66" s="28" t="str">
        <f t="shared" si="1"/>
        <v>Ok</v>
      </c>
      <c r="F66" s="16"/>
      <c r="G66" s="17"/>
    </row>
    <row r="67" spans="1:7" ht="18" customHeight="1">
      <c r="A67" s="26" t="s">
        <v>128</v>
      </c>
      <c r="B67" s="29">
        <v>36</v>
      </c>
      <c r="C67" s="27">
        <f>IFERROR(SUMIF(Sales!C:C, A67, Sales!E:E), 0)</f>
        <v>0</v>
      </c>
      <c r="D67" s="27">
        <f t="shared" si="0"/>
        <v>2</v>
      </c>
      <c r="E67" s="28" t="str">
        <f t="shared" si="1"/>
        <v>Low</v>
      </c>
      <c r="F67" s="16"/>
      <c r="G67" s="17"/>
    </row>
    <row r="68" spans="1:7" ht="18" customHeight="1">
      <c r="A68" s="26" t="s">
        <v>130</v>
      </c>
      <c r="B68" s="29">
        <v>5</v>
      </c>
      <c r="C68" s="27">
        <f>IFERROR(SUMIF(Sales!C:C, A68, Sales!E:E), 0)</f>
        <v>3</v>
      </c>
      <c r="D68" s="27">
        <f t="shared" si="0"/>
        <v>7</v>
      </c>
      <c r="E68" s="28" t="str">
        <f t="shared" si="1"/>
        <v>Ok</v>
      </c>
      <c r="F68" s="16"/>
      <c r="G68" s="17"/>
    </row>
    <row r="69" spans="1:7" ht="18" customHeight="1">
      <c r="A69" s="26" t="s">
        <v>132</v>
      </c>
      <c r="B69" s="29">
        <v>7</v>
      </c>
      <c r="C69" s="27">
        <f>IFERROR(SUMIF(Sales!C:C, A69, Sales!E:E), 0)</f>
        <v>0</v>
      </c>
      <c r="D69" s="27">
        <f t="shared" si="0"/>
        <v>36</v>
      </c>
      <c r="E69" s="28" t="str">
        <f t="shared" si="1"/>
        <v>Ok</v>
      </c>
      <c r="F69" s="16"/>
      <c r="G69" s="17"/>
    </row>
    <row r="70" spans="1:7" ht="18" customHeight="1">
      <c r="A70" s="26" t="s">
        <v>134</v>
      </c>
      <c r="B70" s="29">
        <v>36</v>
      </c>
      <c r="C70" s="27">
        <f>IFERROR(SUMIF(Sales!C:C, A70, Sales!E:E), 0)</f>
        <v>0</v>
      </c>
      <c r="D70" s="27">
        <f t="shared" si="0"/>
        <v>12</v>
      </c>
      <c r="E70" s="28" t="str">
        <f t="shared" si="1"/>
        <v>Ok</v>
      </c>
      <c r="F70" s="16"/>
      <c r="G70" s="17"/>
    </row>
    <row r="71" spans="1:7" ht="18" customHeight="1">
      <c r="A71" s="26" t="s">
        <v>136</v>
      </c>
      <c r="B71" s="29">
        <v>13</v>
      </c>
      <c r="C71" s="27">
        <f>IFERROR(SUMIF(Sales!C:C, A71, Sales!E:E), 0)</f>
        <v>1</v>
      </c>
      <c r="D71" s="27">
        <f t="shared" si="0"/>
        <v>3</v>
      </c>
      <c r="E71" s="28" t="str">
        <f t="shared" si="1"/>
        <v>Low</v>
      </c>
      <c r="F71" s="16"/>
      <c r="G71" s="17"/>
    </row>
    <row r="72" spans="1:7" ht="18" customHeight="1">
      <c r="A72" s="26" t="s">
        <v>139</v>
      </c>
      <c r="B72" s="29">
        <v>5</v>
      </c>
      <c r="C72" s="27">
        <f>IFERROR(SUMIF(Sales!C:C, A72, Sales!E:E), 0)</f>
        <v>2</v>
      </c>
      <c r="D72" s="27">
        <f t="shared" si="0"/>
        <v>25</v>
      </c>
      <c r="E72" s="28" t="str">
        <f t="shared" si="1"/>
        <v>Ok</v>
      </c>
      <c r="F72" s="16"/>
      <c r="G72" s="17"/>
    </row>
    <row r="73" spans="1:7" ht="18" customHeight="1">
      <c r="A73" s="26" t="s">
        <v>141</v>
      </c>
      <c r="B73" s="29">
        <v>25</v>
      </c>
      <c r="C73" s="27">
        <f>IFERROR(SUMIF(Sales!C:C, A73, Sales!E:E), 0)</f>
        <v>0</v>
      </c>
      <c r="D73" s="27">
        <f t="shared" si="0"/>
        <v>7</v>
      </c>
      <c r="E73" s="28" t="str">
        <f t="shared" si="1"/>
        <v>Ok</v>
      </c>
      <c r="F73" s="16"/>
      <c r="G73" s="17"/>
    </row>
    <row r="74" spans="1:7" ht="18" customHeight="1">
      <c r="A74" s="26" t="s">
        <v>144</v>
      </c>
      <c r="B74" s="29">
        <v>7</v>
      </c>
      <c r="C74" s="27">
        <f>IFERROR(SUMIF(Sales!C:C, A74, Sales!E:E), 0)</f>
        <v>0</v>
      </c>
      <c r="D74" s="27">
        <f t="shared" si="0"/>
        <v>3</v>
      </c>
      <c r="E74" s="28" t="str">
        <f t="shared" si="1"/>
        <v>Low</v>
      </c>
      <c r="F74" s="16"/>
      <c r="G74" s="17"/>
    </row>
    <row r="75" spans="1:7" ht="18" customHeight="1">
      <c r="A75" s="26" t="s">
        <v>146</v>
      </c>
      <c r="B75" s="29">
        <v>3</v>
      </c>
      <c r="C75" s="27">
        <f>IFERROR(SUMIF(Sales!C:C, A75, Sales!E:E), 0)</f>
        <v>0</v>
      </c>
      <c r="D75" s="27">
        <f t="shared" si="0"/>
        <v>32</v>
      </c>
      <c r="E75" s="28" t="str">
        <f t="shared" si="1"/>
        <v>Ok</v>
      </c>
      <c r="F75" s="16"/>
      <c r="G75" s="17"/>
    </row>
    <row r="76" spans="1:7" ht="18" customHeight="1">
      <c r="A76" s="26" t="s">
        <v>148</v>
      </c>
      <c r="B76" s="29">
        <v>32</v>
      </c>
      <c r="C76" s="27">
        <f>IFERROR(SUMIF(Sales!C:C, A76, Sales!E:E), 0)</f>
        <v>0</v>
      </c>
      <c r="D76" s="27">
        <f t="shared" si="0"/>
        <v>8</v>
      </c>
      <c r="E76" s="28" t="str">
        <f t="shared" si="1"/>
        <v>Ok</v>
      </c>
      <c r="F76" s="16"/>
      <c r="G76" s="17"/>
    </row>
    <row r="77" spans="1:7" ht="18" customHeight="1">
      <c r="A77" s="26" t="s">
        <v>150</v>
      </c>
      <c r="B77" s="29">
        <v>8</v>
      </c>
      <c r="C77" s="27">
        <f>IFERROR(SUMIF(Sales!C:C, A77, Sales!E:E), 0)</f>
        <v>0</v>
      </c>
      <c r="D77" s="27">
        <f t="shared" si="0"/>
        <v>0</v>
      </c>
      <c r="E77" s="28" t="str">
        <f t="shared" si="1"/>
        <v>Low</v>
      </c>
      <c r="F77" s="16"/>
      <c r="G77" s="17"/>
    </row>
    <row r="78" spans="1:7" ht="18" customHeight="1">
      <c r="A78" s="26" t="s">
        <v>152</v>
      </c>
      <c r="B78" s="29">
        <v>0</v>
      </c>
      <c r="C78" s="27">
        <f>IFERROR(SUMIF(Sales!C:C, A78, Sales!E:E), 0)</f>
        <v>0</v>
      </c>
      <c r="D78" s="27">
        <f t="shared" si="0"/>
        <v>12</v>
      </c>
      <c r="E78" s="28" t="str">
        <f t="shared" si="1"/>
        <v>Ok</v>
      </c>
      <c r="F78" s="16"/>
      <c r="G78" s="17"/>
    </row>
    <row r="79" spans="1:7" ht="18" customHeight="1">
      <c r="A79" s="26" t="s">
        <v>154</v>
      </c>
      <c r="B79" s="29">
        <v>13</v>
      </c>
      <c r="C79" s="27">
        <f>IFERROR(SUMIF(Sales!C:C, A79, Sales!E:E), 0)</f>
        <v>1</v>
      </c>
      <c r="D79" s="27">
        <f t="shared" si="0"/>
        <v>4</v>
      </c>
      <c r="E79" s="28" t="str">
        <f t="shared" si="1"/>
        <v>Low</v>
      </c>
      <c r="F79" s="16"/>
      <c r="G79" s="17"/>
    </row>
    <row r="80" spans="1:7" ht="18" customHeight="1">
      <c r="A80" s="26" t="s">
        <v>156</v>
      </c>
      <c r="B80" s="29">
        <v>4</v>
      </c>
      <c r="C80" s="27">
        <f>IFERROR(SUMIF(Sales!C:C, A80, Sales!E:E), 0)</f>
        <v>0</v>
      </c>
      <c r="D80" s="27">
        <f t="shared" si="0"/>
        <v>7</v>
      </c>
      <c r="E80" s="28" t="str">
        <f t="shared" si="1"/>
        <v>Ok</v>
      </c>
      <c r="F80" s="16"/>
      <c r="G80" s="17"/>
    </row>
    <row r="81" spans="1:7" ht="18" customHeight="1">
      <c r="A81" s="26" t="s">
        <v>158</v>
      </c>
      <c r="B81" s="29">
        <v>7</v>
      </c>
      <c r="C81" s="27">
        <f>IFERROR(SUMIF(Sales!C:C, A81, Sales!E:E), 0)</f>
        <v>0</v>
      </c>
      <c r="D81" s="27">
        <f t="shared" si="0"/>
        <v>1</v>
      </c>
      <c r="E81" s="28" t="str">
        <f t="shared" si="1"/>
        <v>Low</v>
      </c>
      <c r="F81" s="16"/>
      <c r="G81" s="17"/>
    </row>
    <row r="82" spans="1:7" ht="18" customHeight="1">
      <c r="A82" s="26" t="s">
        <v>160</v>
      </c>
      <c r="B82" s="29">
        <v>1</v>
      </c>
      <c r="C82" s="27">
        <f>IFERROR(SUMIF(Sales!C:C, A82, Sales!E:E), 0)</f>
        <v>0</v>
      </c>
      <c r="D82" s="27">
        <f t="shared" si="0"/>
        <v>28</v>
      </c>
      <c r="E82" s="28" t="str">
        <f t="shared" si="1"/>
        <v>Ok</v>
      </c>
      <c r="F82" s="16"/>
      <c r="G82" s="17"/>
    </row>
    <row r="83" spans="1:7" ht="18" customHeight="1">
      <c r="A83" s="26" t="s">
        <v>162</v>
      </c>
      <c r="B83" s="29">
        <v>28</v>
      </c>
      <c r="C83" s="27">
        <f>IFERROR(SUMIF(Sales!C:C, A83, Sales!E:E), 0)</f>
        <v>0</v>
      </c>
      <c r="D83" s="27">
        <f t="shared" si="0"/>
        <v>35</v>
      </c>
      <c r="E83" s="28" t="str">
        <f t="shared" si="1"/>
        <v>Ok</v>
      </c>
      <c r="F83" s="16"/>
      <c r="G83" s="17"/>
    </row>
    <row r="84" spans="1:7" ht="18" customHeight="1">
      <c r="A84" s="26" t="s">
        <v>165</v>
      </c>
      <c r="B84" s="29">
        <v>35</v>
      </c>
      <c r="C84" s="27">
        <f>IFERROR(SUMIF(Sales!C:C, A84, Sales!E:E), 0)</f>
        <v>0</v>
      </c>
      <c r="D84" s="27">
        <f t="shared" si="0"/>
        <v>14</v>
      </c>
      <c r="E84" s="28" t="str">
        <f t="shared" si="1"/>
        <v>Ok</v>
      </c>
      <c r="F84" s="16"/>
      <c r="G84" s="17"/>
    </row>
    <row r="85" spans="1:7" ht="18" customHeight="1">
      <c r="A85" s="26" t="s">
        <v>167</v>
      </c>
      <c r="B85" s="29">
        <v>14</v>
      </c>
      <c r="C85" s="27">
        <f>IFERROR(SUMIF(Sales!C:C, A85, Sales!E:E), 0)</f>
        <v>0</v>
      </c>
      <c r="D85" s="27">
        <f t="shared" si="0"/>
        <v>3</v>
      </c>
      <c r="E85" s="28" t="str">
        <f t="shared" si="1"/>
        <v>Low</v>
      </c>
      <c r="F85" s="16"/>
      <c r="G85" s="17"/>
    </row>
    <row r="86" spans="1:7" ht="18" customHeight="1">
      <c r="A86" s="26" t="s">
        <v>169</v>
      </c>
      <c r="B86" s="29">
        <v>3</v>
      </c>
      <c r="C86" s="27">
        <f>IFERROR(SUMIF(Sales!C:C, A86, Sales!E:E), 0)</f>
        <v>0</v>
      </c>
      <c r="D86" s="27">
        <f t="shared" si="0"/>
        <v>6</v>
      </c>
      <c r="E86" s="28" t="str">
        <f t="shared" si="1"/>
        <v>Ok</v>
      </c>
      <c r="F86" s="16"/>
      <c r="G86" s="17"/>
    </row>
    <row r="87" spans="1:7" ht="18" customHeight="1">
      <c r="A87" s="26" t="s">
        <v>171</v>
      </c>
      <c r="B87" s="29">
        <v>6</v>
      </c>
      <c r="C87" s="27">
        <f>IFERROR(SUMIF(Sales!C:C, A87, Sales!E:E), 0)</f>
        <v>0</v>
      </c>
      <c r="D87" s="27">
        <f t="shared" si="0"/>
        <v>4</v>
      </c>
      <c r="E87" s="28" t="str">
        <f t="shared" si="1"/>
        <v>Low</v>
      </c>
      <c r="F87" s="16"/>
      <c r="G87" s="17"/>
    </row>
    <row r="88" spans="1:7" ht="18" customHeight="1">
      <c r="A88" s="26" t="s">
        <v>173</v>
      </c>
      <c r="B88" s="29">
        <v>4</v>
      </c>
      <c r="C88" s="27">
        <f>IFERROR(SUMIF(Sales!C:C, A88, Sales!E:E), 0)</f>
        <v>0</v>
      </c>
      <c r="D88" s="27">
        <f t="shared" si="0"/>
        <v>25</v>
      </c>
      <c r="E88" s="28" t="str">
        <f t="shared" si="1"/>
        <v>Ok</v>
      </c>
      <c r="F88" s="16"/>
      <c r="G88" s="17"/>
    </row>
    <row r="89" spans="1:7" ht="18" customHeight="1">
      <c r="A89" s="26" t="s">
        <v>176</v>
      </c>
      <c r="B89" s="29">
        <v>25</v>
      </c>
      <c r="C89" s="27">
        <f>IFERROR(SUMIF(Sales!C:C, A89, Sales!E:E), 0)</f>
        <v>0</v>
      </c>
      <c r="D89" s="27">
        <f t="shared" si="0"/>
        <v>19</v>
      </c>
      <c r="E89" s="28" t="str">
        <f t="shared" si="1"/>
        <v>Ok</v>
      </c>
      <c r="F89" s="16"/>
      <c r="G89" s="17"/>
    </row>
    <row r="90" spans="1:7" ht="18" customHeight="1">
      <c r="A90" s="26" t="s">
        <v>178</v>
      </c>
      <c r="B90" s="29">
        <v>19</v>
      </c>
      <c r="C90" s="27">
        <f>IFERROR(SUMIF(Sales!C:C, A90, Sales!E:E), 0)</f>
        <v>0</v>
      </c>
      <c r="D90" s="27">
        <f t="shared" si="0"/>
        <v>4</v>
      </c>
      <c r="E90" s="28" t="str">
        <f t="shared" si="1"/>
        <v>Low</v>
      </c>
      <c r="F90" s="16"/>
      <c r="G90" s="17"/>
    </row>
    <row r="91" spans="1:7" ht="18" customHeight="1">
      <c r="A91" s="26" t="s">
        <v>180</v>
      </c>
      <c r="B91" s="29">
        <v>4</v>
      </c>
      <c r="C91" s="27">
        <f>IFERROR(SUMIF(Sales!C:C, A91, Sales!E:E), 0)</f>
        <v>0</v>
      </c>
      <c r="D91" s="27">
        <f t="shared" si="0"/>
        <v>8</v>
      </c>
      <c r="E91" s="28" t="str">
        <f t="shared" si="1"/>
        <v>Ok</v>
      </c>
      <c r="F91" s="16"/>
      <c r="G91" s="17"/>
    </row>
    <row r="92" spans="1:7" ht="18" customHeight="1">
      <c r="A92" s="26" t="s">
        <v>182</v>
      </c>
      <c r="B92" s="29">
        <v>8</v>
      </c>
      <c r="C92" s="27">
        <f>IFERROR(SUMIF(Sales!C:C, A92, Sales!E:E), 0)</f>
        <v>0</v>
      </c>
      <c r="D92" s="27">
        <f t="shared" si="0"/>
        <v>15</v>
      </c>
      <c r="E92" s="28" t="str">
        <f t="shared" si="1"/>
        <v>Ok</v>
      </c>
      <c r="F92" s="16"/>
      <c r="G92" s="17"/>
    </row>
    <row r="93" spans="1:7" ht="18" customHeight="1">
      <c r="A93" s="26" t="s">
        <v>184</v>
      </c>
      <c r="B93" s="29">
        <v>15</v>
      </c>
      <c r="C93" s="27">
        <f>IFERROR(SUMIF(Sales!C:C, A93, Sales!E:E), 0)</f>
        <v>0</v>
      </c>
      <c r="D93" s="27">
        <f t="shared" si="0"/>
        <v>29</v>
      </c>
      <c r="E93" s="28" t="str">
        <f t="shared" si="1"/>
        <v>Ok</v>
      </c>
      <c r="F93" s="16"/>
      <c r="G93" s="17"/>
    </row>
    <row r="94" spans="1:7" ht="18" customHeight="1">
      <c r="A94" s="26" t="s">
        <v>186</v>
      </c>
      <c r="B94" s="29">
        <v>29</v>
      </c>
      <c r="C94" s="27">
        <f>IFERROR(SUMIF(Sales!C:C, A94, Sales!E:E), 0)</f>
        <v>0</v>
      </c>
      <c r="D94" s="27">
        <f t="shared" si="0"/>
        <v>0</v>
      </c>
      <c r="E94" s="28" t="str">
        <f t="shared" si="1"/>
        <v>Low</v>
      </c>
      <c r="F94" s="16"/>
      <c r="G94" s="17"/>
    </row>
    <row r="95" spans="1:7" ht="18" customHeight="1">
      <c r="A95" s="16"/>
      <c r="B95" s="25"/>
      <c r="C95" s="25"/>
      <c r="D95" s="25"/>
      <c r="E95" s="16"/>
      <c r="F95" s="16"/>
      <c r="G95" s="17"/>
    </row>
    <row r="96" spans="1:7" ht="18" customHeight="1">
      <c r="A96" s="16"/>
      <c r="B96" s="25"/>
      <c r="C96" s="25"/>
      <c r="D96" s="25"/>
      <c r="E96" s="16"/>
      <c r="F96" s="16"/>
      <c r="G96" s="17"/>
    </row>
    <row r="97" spans="1:7" ht="18" customHeight="1">
      <c r="A97" s="16"/>
      <c r="B97" s="25"/>
      <c r="C97" s="25"/>
      <c r="D97" s="25"/>
      <c r="E97" s="16"/>
      <c r="F97" s="16"/>
      <c r="G97" s="17"/>
    </row>
    <row r="98" spans="1:7" ht="18" customHeight="1">
      <c r="A98" s="16"/>
      <c r="B98" s="25"/>
      <c r="C98" s="25"/>
      <c r="D98" s="25"/>
      <c r="E98" s="16"/>
      <c r="F98" s="16"/>
      <c r="G98" s="17"/>
    </row>
    <row r="99" spans="1:7" ht="18" customHeight="1">
      <c r="A99" s="16"/>
      <c r="B99" s="25"/>
      <c r="C99" s="25"/>
      <c r="D99" s="25"/>
      <c r="E99" s="16"/>
      <c r="F99" s="16"/>
      <c r="G99" s="17"/>
    </row>
    <row r="100" spans="1:7" ht="18" customHeight="1">
      <c r="A100" s="16"/>
      <c r="B100" s="25"/>
      <c r="C100" s="25"/>
      <c r="D100" s="25"/>
      <c r="E100" s="16"/>
      <c r="F100" s="16"/>
      <c r="G100" s="17"/>
    </row>
    <row r="101" spans="1:7" ht="18" customHeight="1">
      <c r="A101" s="16"/>
      <c r="B101" s="25"/>
      <c r="C101" s="25"/>
      <c r="D101" s="25"/>
      <c r="E101" s="16"/>
      <c r="F101" s="16"/>
      <c r="G101" s="17"/>
    </row>
    <row r="102" spans="1:7" ht="18" customHeight="1">
      <c r="A102" s="16"/>
      <c r="B102" s="25"/>
      <c r="C102" s="25"/>
      <c r="D102" s="25"/>
      <c r="E102" s="16"/>
      <c r="F102" s="16"/>
      <c r="G102" s="17"/>
    </row>
    <row r="103" spans="1:7" ht="18" customHeight="1">
      <c r="A103" s="16"/>
      <c r="B103" s="25"/>
      <c r="C103" s="25"/>
      <c r="D103" s="25"/>
      <c r="E103" s="16"/>
      <c r="F103" s="16"/>
      <c r="G103" s="17"/>
    </row>
    <row r="104" spans="1:7" ht="18" customHeight="1">
      <c r="A104" s="16"/>
      <c r="B104" s="25"/>
      <c r="C104" s="25"/>
      <c r="D104" s="25"/>
      <c r="E104" s="16"/>
      <c r="F104" s="16"/>
      <c r="G104" s="17"/>
    </row>
    <row r="105" spans="1:7" ht="18" customHeight="1">
      <c r="A105" s="16"/>
      <c r="B105" s="25"/>
      <c r="C105" s="25"/>
      <c r="D105" s="25"/>
      <c r="E105" s="16"/>
      <c r="F105" s="16"/>
      <c r="G105" s="17"/>
    </row>
    <row r="106" spans="1:7" ht="18" customHeight="1">
      <c r="A106" s="16"/>
      <c r="B106" s="25"/>
      <c r="C106" s="25"/>
      <c r="D106" s="25"/>
      <c r="E106" s="16"/>
      <c r="F106" s="16"/>
      <c r="G106" s="17"/>
    </row>
    <row r="107" spans="1:7" ht="18" customHeight="1">
      <c r="A107" s="16"/>
      <c r="B107" s="25"/>
      <c r="C107" s="25"/>
      <c r="D107" s="25"/>
      <c r="E107" s="16"/>
      <c r="F107" s="16"/>
      <c r="G107" s="17"/>
    </row>
    <row r="108" spans="1:7" ht="18" customHeight="1">
      <c r="A108" s="16"/>
      <c r="B108" s="25"/>
      <c r="C108" s="25"/>
      <c r="D108" s="25"/>
      <c r="E108" s="16"/>
      <c r="F108" s="16"/>
      <c r="G108" s="17"/>
    </row>
    <row r="109" spans="1:7" ht="18" customHeight="1">
      <c r="A109" s="16"/>
      <c r="B109" s="25"/>
      <c r="C109" s="25"/>
      <c r="D109" s="25"/>
      <c r="E109" s="16"/>
      <c r="F109" s="16"/>
      <c r="G109" s="17"/>
    </row>
    <row r="110" spans="1:7" ht="18" customHeight="1">
      <c r="A110" s="16"/>
      <c r="B110" s="25"/>
      <c r="C110" s="25"/>
      <c r="D110" s="25"/>
      <c r="E110" s="16"/>
      <c r="F110" s="16"/>
      <c r="G110" s="17"/>
    </row>
    <row r="111" spans="1:7" ht="18" customHeight="1">
      <c r="A111" s="16"/>
      <c r="B111" s="25"/>
      <c r="C111" s="25"/>
      <c r="D111" s="25"/>
      <c r="E111" s="16"/>
      <c r="F111" s="16"/>
      <c r="G111" s="17"/>
    </row>
    <row r="112" spans="1:7" ht="18" customHeight="1">
      <c r="A112" s="16"/>
      <c r="B112" s="25"/>
      <c r="C112" s="25"/>
      <c r="D112" s="25"/>
      <c r="E112" s="16"/>
      <c r="F112" s="16"/>
      <c r="G112" s="17"/>
    </row>
    <row r="113" spans="1:7" ht="18" customHeight="1">
      <c r="A113" s="16"/>
      <c r="B113" s="25"/>
      <c r="C113" s="25"/>
      <c r="D113" s="25"/>
      <c r="E113" s="16"/>
      <c r="F113" s="16"/>
      <c r="G113" s="17"/>
    </row>
    <row r="114" spans="1:7" ht="18" customHeight="1">
      <c r="A114" s="16"/>
      <c r="B114" s="25"/>
      <c r="C114" s="25"/>
      <c r="D114" s="25"/>
      <c r="E114" s="16"/>
      <c r="F114" s="16"/>
      <c r="G114" s="17"/>
    </row>
    <row r="115" spans="1:7" ht="18" customHeight="1">
      <c r="A115" s="16"/>
      <c r="B115" s="25"/>
      <c r="C115" s="25"/>
      <c r="D115" s="25"/>
      <c r="E115" s="16"/>
      <c r="F115" s="16"/>
      <c r="G115" s="17"/>
    </row>
    <row r="116" spans="1:7" ht="18" customHeight="1">
      <c r="A116" s="16"/>
      <c r="B116" s="25"/>
      <c r="C116" s="25"/>
      <c r="D116" s="25"/>
      <c r="E116" s="16"/>
      <c r="F116" s="16"/>
      <c r="G116" s="17"/>
    </row>
    <row r="117" spans="1:7" ht="18" customHeight="1">
      <c r="A117" s="16"/>
      <c r="B117" s="25"/>
      <c r="C117" s="25"/>
      <c r="D117" s="25"/>
      <c r="E117" s="16"/>
      <c r="F117" s="16"/>
      <c r="G117" s="17"/>
    </row>
    <row r="118" spans="1:7" ht="18" customHeight="1">
      <c r="A118" s="16"/>
      <c r="B118" s="25"/>
      <c r="C118" s="25"/>
      <c r="D118" s="25"/>
      <c r="E118" s="16"/>
      <c r="F118" s="16"/>
      <c r="G118" s="17"/>
    </row>
    <row r="119" spans="1:7" ht="18" customHeight="1">
      <c r="A119" s="16"/>
      <c r="B119" s="25"/>
      <c r="C119" s="25"/>
      <c r="D119" s="25"/>
      <c r="E119" s="16"/>
      <c r="F119" s="16"/>
      <c r="G119" s="17"/>
    </row>
    <row r="120" spans="1:7" ht="18" customHeight="1">
      <c r="A120" s="16"/>
      <c r="B120" s="25"/>
      <c r="C120" s="25"/>
      <c r="D120" s="25"/>
      <c r="E120" s="16"/>
      <c r="F120" s="16"/>
      <c r="G120" s="17"/>
    </row>
    <row r="121" spans="1:7" ht="18" customHeight="1">
      <c r="A121" s="16"/>
      <c r="B121" s="25"/>
      <c r="C121" s="25"/>
      <c r="D121" s="25"/>
      <c r="E121" s="16"/>
      <c r="F121" s="16"/>
      <c r="G121" s="17"/>
    </row>
    <row r="122" spans="1:7" ht="18" customHeight="1">
      <c r="A122" s="16"/>
      <c r="B122" s="25"/>
      <c r="C122" s="25"/>
      <c r="D122" s="25"/>
      <c r="E122" s="16"/>
      <c r="F122" s="16"/>
      <c r="G122" s="17"/>
    </row>
    <row r="123" spans="1:7" ht="18" customHeight="1">
      <c r="A123" s="16"/>
      <c r="B123" s="25"/>
      <c r="C123" s="25"/>
      <c r="D123" s="25"/>
      <c r="E123" s="16"/>
      <c r="F123" s="16"/>
      <c r="G123" s="17"/>
    </row>
    <row r="124" spans="1:7" ht="18" customHeight="1">
      <c r="A124" s="16"/>
      <c r="B124" s="25"/>
      <c r="C124" s="25"/>
      <c r="D124" s="25"/>
      <c r="E124" s="16"/>
      <c r="F124" s="16"/>
      <c r="G124" s="17"/>
    </row>
    <row r="125" spans="1:7" ht="18" customHeight="1">
      <c r="A125" s="16"/>
      <c r="B125" s="25"/>
      <c r="C125" s="25"/>
      <c r="D125" s="25"/>
      <c r="E125" s="16"/>
      <c r="F125" s="16"/>
      <c r="G125" s="17"/>
    </row>
    <row r="126" spans="1:7" ht="18" customHeight="1">
      <c r="A126" s="16"/>
      <c r="B126" s="25"/>
      <c r="C126" s="25"/>
      <c r="D126" s="25"/>
      <c r="E126" s="16"/>
      <c r="F126" s="16"/>
      <c r="G126" s="17"/>
    </row>
    <row r="127" spans="1:7" ht="18" customHeight="1">
      <c r="A127" s="16"/>
      <c r="B127" s="25"/>
      <c r="C127" s="25"/>
      <c r="D127" s="25"/>
      <c r="E127" s="16"/>
      <c r="F127" s="16"/>
      <c r="G127" s="17"/>
    </row>
    <row r="128" spans="1:7" ht="18" customHeight="1">
      <c r="A128" s="16"/>
      <c r="B128" s="25"/>
      <c r="C128" s="25"/>
      <c r="D128" s="25"/>
      <c r="E128" s="16"/>
      <c r="F128" s="16"/>
      <c r="G128" s="17"/>
    </row>
    <row r="129" spans="1:7" ht="18" customHeight="1">
      <c r="A129" s="16"/>
      <c r="B129" s="25"/>
      <c r="C129" s="25"/>
      <c r="D129" s="25"/>
      <c r="E129" s="16"/>
      <c r="F129" s="16"/>
      <c r="G129" s="17"/>
    </row>
    <row r="130" spans="1:7" ht="18" customHeight="1">
      <c r="A130" s="16"/>
      <c r="B130" s="25"/>
      <c r="C130" s="25"/>
      <c r="D130" s="25"/>
      <c r="E130" s="16"/>
      <c r="F130" s="16"/>
      <c r="G130" s="17"/>
    </row>
    <row r="131" spans="1:7" ht="18" customHeight="1">
      <c r="A131" s="16"/>
      <c r="B131" s="25"/>
      <c r="C131" s="25"/>
      <c r="D131" s="25"/>
      <c r="E131" s="16"/>
      <c r="F131" s="16"/>
      <c r="G131" s="17"/>
    </row>
    <row r="132" spans="1:7" ht="18" customHeight="1">
      <c r="A132" s="16"/>
      <c r="B132" s="25"/>
      <c r="C132" s="25"/>
      <c r="D132" s="25"/>
      <c r="E132" s="16"/>
      <c r="F132" s="16"/>
      <c r="G132" s="17"/>
    </row>
    <row r="133" spans="1:7" ht="18" customHeight="1">
      <c r="A133" s="16"/>
      <c r="B133" s="25"/>
      <c r="C133" s="25"/>
      <c r="D133" s="25"/>
      <c r="E133" s="16"/>
      <c r="F133" s="16"/>
      <c r="G133" s="17"/>
    </row>
    <row r="134" spans="1:7" ht="18" customHeight="1">
      <c r="A134" s="16"/>
      <c r="B134" s="25"/>
      <c r="C134" s="25"/>
      <c r="D134" s="25"/>
      <c r="E134" s="16"/>
      <c r="F134" s="16"/>
      <c r="G134" s="17"/>
    </row>
    <row r="135" spans="1:7" ht="18" customHeight="1">
      <c r="A135" s="16"/>
      <c r="B135" s="25"/>
      <c r="C135" s="25"/>
      <c r="D135" s="25"/>
      <c r="E135" s="16"/>
      <c r="F135" s="16"/>
      <c r="G135" s="17"/>
    </row>
    <row r="136" spans="1:7" ht="18" customHeight="1">
      <c r="A136" s="16"/>
      <c r="B136" s="25"/>
      <c r="C136" s="25"/>
      <c r="D136" s="25"/>
      <c r="E136" s="16"/>
      <c r="F136" s="16"/>
      <c r="G136" s="17"/>
    </row>
    <row r="137" spans="1:7" ht="18" customHeight="1">
      <c r="A137" s="16"/>
      <c r="B137" s="25"/>
      <c r="C137" s="25"/>
      <c r="D137" s="25"/>
      <c r="E137" s="16"/>
      <c r="F137" s="16"/>
      <c r="G137" s="17"/>
    </row>
    <row r="138" spans="1:7" ht="18" customHeight="1">
      <c r="A138" s="16"/>
      <c r="B138" s="25"/>
      <c r="C138" s="25"/>
      <c r="D138" s="25"/>
      <c r="E138" s="16"/>
      <c r="F138" s="16"/>
      <c r="G138" s="17"/>
    </row>
    <row r="139" spans="1:7" ht="18" customHeight="1">
      <c r="A139" s="16"/>
      <c r="B139" s="25"/>
      <c r="C139" s="25"/>
      <c r="D139" s="25"/>
      <c r="E139" s="16"/>
      <c r="F139" s="16"/>
      <c r="G139" s="17"/>
    </row>
    <row r="140" spans="1:7" ht="18" customHeight="1">
      <c r="A140" s="16"/>
      <c r="B140" s="25"/>
      <c r="C140" s="25"/>
      <c r="D140" s="25"/>
      <c r="E140" s="16"/>
      <c r="F140" s="16"/>
      <c r="G140" s="17"/>
    </row>
    <row r="141" spans="1:7" ht="18" customHeight="1">
      <c r="A141" s="16"/>
      <c r="B141" s="25"/>
      <c r="C141" s="25"/>
      <c r="D141" s="25"/>
      <c r="E141" s="16"/>
      <c r="F141" s="16"/>
      <c r="G141" s="17"/>
    </row>
    <row r="142" spans="1:7" ht="18" customHeight="1">
      <c r="A142" s="16"/>
      <c r="B142" s="25"/>
      <c r="C142" s="25"/>
      <c r="D142" s="25"/>
      <c r="E142" s="16"/>
      <c r="F142" s="16"/>
      <c r="G142" s="17"/>
    </row>
    <row r="143" spans="1:7" ht="18" customHeight="1">
      <c r="A143" s="16"/>
      <c r="B143" s="25"/>
      <c r="C143" s="25"/>
      <c r="D143" s="25"/>
      <c r="E143" s="16"/>
      <c r="F143" s="16"/>
      <c r="G143" s="17"/>
    </row>
    <row r="144" spans="1:7" ht="18" customHeight="1">
      <c r="A144" s="16"/>
      <c r="B144" s="25"/>
      <c r="C144" s="25"/>
      <c r="D144" s="25"/>
      <c r="E144" s="16"/>
      <c r="F144" s="16"/>
      <c r="G144" s="17"/>
    </row>
    <row r="145" spans="1:7" ht="18" customHeight="1">
      <c r="A145" s="16"/>
      <c r="B145" s="25"/>
      <c r="C145" s="25"/>
      <c r="D145" s="25"/>
      <c r="E145" s="16"/>
      <c r="F145" s="16"/>
      <c r="G145" s="17"/>
    </row>
    <row r="146" spans="1:7" ht="18" customHeight="1">
      <c r="A146" s="16"/>
      <c r="B146" s="25"/>
      <c r="C146" s="25"/>
      <c r="D146" s="25"/>
      <c r="E146" s="16"/>
      <c r="F146" s="16"/>
      <c r="G146" s="17"/>
    </row>
    <row r="147" spans="1:7" ht="18" customHeight="1">
      <c r="A147" s="16"/>
      <c r="B147" s="25"/>
      <c r="C147" s="25"/>
      <c r="D147" s="25"/>
      <c r="E147" s="16"/>
      <c r="F147" s="16"/>
      <c r="G147" s="17"/>
    </row>
    <row r="148" spans="1:7" ht="18" customHeight="1">
      <c r="A148" s="16"/>
      <c r="B148" s="25"/>
      <c r="C148" s="25"/>
      <c r="D148" s="25"/>
      <c r="E148" s="16"/>
      <c r="F148" s="16"/>
      <c r="G148" s="17"/>
    </row>
    <row r="149" spans="1:7" ht="18" customHeight="1">
      <c r="A149" s="16"/>
      <c r="B149" s="25"/>
      <c r="C149" s="25"/>
      <c r="D149" s="25"/>
      <c r="E149" s="16"/>
      <c r="F149" s="16"/>
      <c r="G149" s="17"/>
    </row>
    <row r="150" spans="1:7" ht="18" customHeight="1">
      <c r="A150" s="16"/>
      <c r="B150" s="25"/>
      <c r="C150" s="25"/>
      <c r="D150" s="25"/>
      <c r="E150" s="16"/>
      <c r="F150" s="16"/>
      <c r="G150" s="17"/>
    </row>
    <row r="151" spans="1:7" ht="18" customHeight="1">
      <c r="A151" s="16"/>
      <c r="B151" s="25"/>
      <c r="C151" s="25"/>
      <c r="D151" s="25"/>
      <c r="E151" s="16"/>
      <c r="F151" s="16"/>
      <c r="G151" s="17"/>
    </row>
    <row r="152" spans="1:7" ht="18" customHeight="1">
      <c r="A152" s="16"/>
      <c r="B152" s="25"/>
      <c r="C152" s="25"/>
      <c r="D152" s="25"/>
      <c r="E152" s="16"/>
      <c r="F152" s="16"/>
      <c r="G152" s="17"/>
    </row>
    <row r="153" spans="1:7" ht="18" customHeight="1">
      <c r="A153" s="16"/>
      <c r="B153" s="25"/>
      <c r="C153" s="25"/>
      <c r="D153" s="25"/>
      <c r="E153" s="16"/>
      <c r="F153" s="16"/>
      <c r="G153" s="17"/>
    </row>
    <row r="154" spans="1:7" ht="18" customHeight="1">
      <c r="A154" s="16"/>
      <c r="B154" s="25"/>
      <c r="C154" s="25"/>
      <c r="D154" s="25"/>
      <c r="E154" s="16"/>
      <c r="F154" s="16"/>
      <c r="G154" s="17"/>
    </row>
    <row r="155" spans="1:7" ht="18" customHeight="1">
      <c r="A155" s="16"/>
      <c r="B155" s="25"/>
      <c r="C155" s="25"/>
      <c r="D155" s="25"/>
      <c r="E155" s="16"/>
      <c r="F155" s="16"/>
      <c r="G155" s="17"/>
    </row>
    <row r="156" spans="1:7" ht="18" customHeight="1">
      <c r="A156" s="16"/>
      <c r="B156" s="25"/>
      <c r="C156" s="25"/>
      <c r="D156" s="25"/>
      <c r="E156" s="16"/>
      <c r="F156" s="16"/>
      <c r="G156" s="17"/>
    </row>
    <row r="157" spans="1:7" ht="18" customHeight="1">
      <c r="A157" s="16"/>
      <c r="B157" s="25"/>
      <c r="C157" s="25"/>
      <c r="D157" s="25"/>
      <c r="E157" s="16"/>
      <c r="F157" s="16"/>
      <c r="G157" s="17"/>
    </row>
    <row r="158" spans="1:7" ht="18" customHeight="1">
      <c r="A158" s="16"/>
      <c r="B158" s="25"/>
      <c r="C158" s="25"/>
      <c r="D158" s="25"/>
      <c r="E158" s="16"/>
      <c r="F158" s="16"/>
      <c r="G158" s="17"/>
    </row>
    <row r="159" spans="1:7" ht="18" customHeight="1">
      <c r="A159" s="16"/>
      <c r="B159" s="25"/>
      <c r="C159" s="25"/>
      <c r="D159" s="25"/>
      <c r="E159" s="16"/>
      <c r="F159" s="16"/>
      <c r="G159" s="17"/>
    </row>
    <row r="160" spans="1:7" ht="18" customHeight="1">
      <c r="A160" s="16"/>
      <c r="B160" s="25"/>
      <c r="C160" s="25"/>
      <c r="D160" s="25"/>
      <c r="E160" s="16"/>
      <c r="F160" s="16"/>
      <c r="G160" s="17"/>
    </row>
    <row r="161" spans="1:7" ht="18" customHeight="1">
      <c r="A161" s="16"/>
      <c r="B161" s="25"/>
      <c r="C161" s="25"/>
      <c r="D161" s="25"/>
      <c r="E161" s="16"/>
      <c r="F161" s="16"/>
      <c r="G161" s="17"/>
    </row>
    <row r="162" spans="1:7" ht="18" customHeight="1">
      <c r="A162" s="16"/>
      <c r="B162" s="25"/>
      <c r="C162" s="25"/>
      <c r="D162" s="25"/>
      <c r="E162" s="16"/>
      <c r="F162" s="16"/>
      <c r="G162" s="17"/>
    </row>
    <row r="163" spans="1:7" ht="18" customHeight="1">
      <c r="A163" s="16"/>
      <c r="B163" s="25"/>
      <c r="C163" s="25"/>
      <c r="D163" s="25"/>
      <c r="E163" s="16"/>
      <c r="F163" s="16"/>
      <c r="G163" s="17"/>
    </row>
    <row r="164" spans="1:7" ht="18" customHeight="1">
      <c r="A164" s="16"/>
      <c r="B164" s="25"/>
      <c r="C164" s="25"/>
      <c r="D164" s="25"/>
      <c r="E164" s="16"/>
      <c r="F164" s="16"/>
      <c r="G164" s="17"/>
    </row>
    <row r="165" spans="1:7" ht="18" customHeight="1">
      <c r="A165" s="16"/>
      <c r="B165" s="25"/>
      <c r="C165" s="25"/>
      <c r="D165" s="25"/>
      <c r="E165" s="16"/>
      <c r="F165" s="16"/>
      <c r="G165" s="17"/>
    </row>
    <row r="166" spans="1:7" ht="18" customHeight="1">
      <c r="A166" s="16"/>
      <c r="B166" s="25"/>
      <c r="C166" s="25"/>
      <c r="D166" s="25"/>
      <c r="E166" s="16"/>
      <c r="F166" s="16"/>
      <c r="G166" s="17"/>
    </row>
    <row r="167" spans="1:7" ht="18" customHeight="1">
      <c r="A167" s="16"/>
      <c r="B167" s="25"/>
      <c r="C167" s="25"/>
      <c r="D167" s="25"/>
      <c r="E167" s="16"/>
      <c r="F167" s="16"/>
      <c r="G167" s="17"/>
    </row>
    <row r="168" spans="1:7" ht="18" customHeight="1">
      <c r="A168" s="16"/>
      <c r="B168" s="25"/>
      <c r="C168" s="25"/>
      <c r="D168" s="25"/>
      <c r="E168" s="16"/>
      <c r="F168" s="16"/>
      <c r="G168" s="17"/>
    </row>
    <row r="169" spans="1:7" ht="18" customHeight="1">
      <c r="A169" s="16"/>
      <c r="B169" s="25"/>
      <c r="C169" s="25"/>
      <c r="D169" s="25"/>
      <c r="E169" s="16"/>
      <c r="F169" s="16"/>
      <c r="G169" s="17"/>
    </row>
    <row r="170" spans="1:7" ht="18" customHeight="1">
      <c r="A170" s="16"/>
      <c r="B170" s="25"/>
      <c r="C170" s="25"/>
      <c r="D170" s="25"/>
      <c r="E170" s="16"/>
      <c r="F170" s="16"/>
      <c r="G170" s="17"/>
    </row>
    <row r="171" spans="1:7" ht="18" customHeight="1">
      <c r="A171" s="16"/>
      <c r="B171" s="25"/>
      <c r="C171" s="25"/>
      <c r="D171" s="25"/>
      <c r="E171" s="16"/>
      <c r="F171" s="16"/>
      <c r="G171" s="17"/>
    </row>
    <row r="172" spans="1:7" ht="18" customHeight="1">
      <c r="A172" s="16"/>
      <c r="B172" s="25"/>
      <c r="C172" s="25"/>
      <c r="D172" s="25"/>
      <c r="E172" s="16"/>
      <c r="F172" s="16"/>
      <c r="G172" s="17"/>
    </row>
    <row r="173" spans="1:7" ht="18" customHeight="1">
      <c r="A173" s="16"/>
      <c r="B173" s="25"/>
      <c r="C173" s="25"/>
      <c r="D173" s="25"/>
      <c r="E173" s="16"/>
      <c r="F173" s="16"/>
      <c r="G173" s="17"/>
    </row>
    <row r="174" spans="1:7" ht="18" customHeight="1">
      <c r="A174" s="16"/>
      <c r="B174" s="25"/>
      <c r="C174" s="25"/>
      <c r="D174" s="25"/>
      <c r="E174" s="16"/>
      <c r="F174" s="16"/>
      <c r="G174" s="17"/>
    </row>
    <row r="175" spans="1:7" ht="18" customHeight="1">
      <c r="A175" s="16"/>
      <c r="B175" s="25"/>
      <c r="C175" s="25"/>
      <c r="D175" s="25"/>
      <c r="E175" s="16"/>
      <c r="F175" s="16"/>
      <c r="G175" s="17"/>
    </row>
    <row r="176" spans="1:7" ht="18" customHeight="1">
      <c r="A176" s="16"/>
      <c r="B176" s="25"/>
      <c r="C176" s="25"/>
      <c r="D176" s="25"/>
      <c r="E176" s="16"/>
      <c r="F176" s="16"/>
      <c r="G176" s="17"/>
    </row>
    <row r="177" spans="1:7" ht="18" customHeight="1">
      <c r="A177" s="16"/>
      <c r="B177" s="25"/>
      <c r="C177" s="25"/>
      <c r="D177" s="25"/>
      <c r="E177" s="16"/>
      <c r="F177" s="16"/>
      <c r="G177" s="17"/>
    </row>
    <row r="178" spans="1:7" ht="18" customHeight="1">
      <c r="A178" s="16"/>
      <c r="B178" s="25"/>
      <c r="C178" s="25"/>
      <c r="D178" s="25"/>
      <c r="E178" s="16"/>
      <c r="F178" s="16"/>
      <c r="G178" s="17"/>
    </row>
    <row r="179" spans="1:7" ht="18" customHeight="1">
      <c r="A179" s="16"/>
      <c r="B179" s="25"/>
      <c r="C179" s="25"/>
      <c r="D179" s="25"/>
      <c r="E179" s="16"/>
      <c r="F179" s="16"/>
      <c r="G179" s="17"/>
    </row>
    <row r="180" spans="1:7" ht="18" customHeight="1">
      <c r="A180" s="16"/>
      <c r="B180" s="25"/>
      <c r="C180" s="25"/>
      <c r="D180" s="25"/>
      <c r="E180" s="16"/>
      <c r="F180" s="16"/>
      <c r="G180" s="17"/>
    </row>
    <row r="181" spans="1:7" ht="18" customHeight="1">
      <c r="A181" s="16"/>
      <c r="B181" s="25"/>
      <c r="C181" s="25"/>
      <c r="D181" s="25"/>
      <c r="E181" s="16"/>
      <c r="F181" s="16"/>
      <c r="G181" s="17"/>
    </row>
    <row r="182" spans="1:7" ht="18" customHeight="1">
      <c r="A182" s="16"/>
      <c r="B182" s="25"/>
      <c r="C182" s="25"/>
      <c r="D182" s="25"/>
      <c r="E182" s="16"/>
      <c r="F182" s="16"/>
      <c r="G182" s="17"/>
    </row>
    <row r="183" spans="1:7" ht="18" customHeight="1">
      <c r="A183" s="16"/>
      <c r="B183" s="25"/>
      <c r="C183" s="25"/>
      <c r="D183" s="25"/>
      <c r="E183" s="16"/>
      <c r="F183" s="16"/>
      <c r="G183" s="17"/>
    </row>
    <row r="184" spans="1:7" ht="18" customHeight="1">
      <c r="A184" s="16"/>
      <c r="B184" s="25"/>
      <c r="C184" s="25"/>
      <c r="D184" s="25"/>
      <c r="E184" s="16"/>
      <c r="F184" s="16"/>
      <c r="G184" s="17"/>
    </row>
    <row r="185" spans="1:7" ht="18" customHeight="1">
      <c r="A185" s="16"/>
      <c r="B185" s="25"/>
      <c r="C185" s="25"/>
      <c r="D185" s="25"/>
      <c r="E185" s="16"/>
      <c r="F185" s="16"/>
      <c r="G185" s="17"/>
    </row>
    <row r="186" spans="1:7" ht="18" customHeight="1">
      <c r="A186" s="16"/>
      <c r="B186" s="25"/>
      <c r="C186" s="25"/>
      <c r="D186" s="25"/>
      <c r="E186" s="16"/>
      <c r="F186" s="16"/>
      <c r="G186" s="17"/>
    </row>
    <row r="187" spans="1:7" ht="18" customHeight="1">
      <c r="A187" s="16"/>
      <c r="B187" s="25"/>
      <c r="C187" s="25"/>
      <c r="D187" s="25"/>
      <c r="E187" s="16"/>
      <c r="F187" s="16"/>
      <c r="G187" s="17"/>
    </row>
    <row r="188" spans="1:7" ht="18" customHeight="1">
      <c r="A188" s="16"/>
      <c r="B188" s="25"/>
      <c r="C188" s="25"/>
      <c r="D188" s="25"/>
      <c r="E188" s="16"/>
      <c r="F188" s="16"/>
      <c r="G188" s="17"/>
    </row>
    <row r="189" spans="1:7" ht="18" customHeight="1">
      <c r="A189" s="16"/>
      <c r="B189" s="25"/>
      <c r="C189" s="25"/>
      <c r="D189" s="25"/>
      <c r="E189" s="16"/>
      <c r="F189" s="16"/>
      <c r="G189" s="17"/>
    </row>
    <row r="190" spans="1:7" ht="18" customHeight="1">
      <c r="A190" s="16"/>
      <c r="B190" s="25"/>
      <c r="C190" s="25"/>
      <c r="D190" s="25"/>
      <c r="E190" s="16"/>
      <c r="F190" s="16"/>
      <c r="G190" s="17"/>
    </row>
    <row r="191" spans="1:7" ht="18" customHeight="1">
      <c r="A191" s="16"/>
      <c r="B191" s="25"/>
      <c r="C191" s="25"/>
      <c r="D191" s="25"/>
      <c r="E191" s="16"/>
      <c r="F191" s="16"/>
      <c r="G191" s="17"/>
    </row>
    <row r="192" spans="1:7" ht="18" customHeight="1">
      <c r="A192" s="16"/>
      <c r="B192" s="25"/>
      <c r="C192" s="25"/>
      <c r="D192" s="25"/>
      <c r="E192" s="16"/>
      <c r="F192" s="16"/>
      <c r="G192" s="17"/>
    </row>
    <row r="193" spans="1:7" ht="18" customHeight="1">
      <c r="A193" s="16"/>
      <c r="B193" s="25"/>
      <c r="C193" s="25"/>
      <c r="D193" s="25"/>
      <c r="E193" s="16"/>
      <c r="F193" s="16"/>
      <c r="G193" s="17"/>
    </row>
    <row r="194" spans="1:7" ht="18" customHeight="1">
      <c r="A194" s="16"/>
      <c r="B194" s="25"/>
      <c r="C194" s="25"/>
      <c r="D194" s="25"/>
      <c r="E194" s="16"/>
      <c r="F194" s="16"/>
      <c r="G194" s="17"/>
    </row>
    <row r="195" spans="1:7" ht="18" customHeight="1">
      <c r="A195" s="16"/>
      <c r="B195" s="25"/>
      <c r="C195" s="25"/>
      <c r="D195" s="25"/>
      <c r="E195" s="16"/>
      <c r="F195" s="16"/>
      <c r="G195" s="17"/>
    </row>
    <row r="196" spans="1:7" ht="18" customHeight="1">
      <c r="A196" s="16"/>
      <c r="B196" s="25"/>
      <c r="C196" s="25"/>
      <c r="D196" s="25"/>
      <c r="E196" s="16"/>
      <c r="F196" s="16"/>
      <c r="G196" s="17"/>
    </row>
    <row r="197" spans="1:7" ht="18" customHeight="1">
      <c r="A197" s="16"/>
      <c r="B197" s="25"/>
      <c r="C197" s="25"/>
      <c r="D197" s="25"/>
      <c r="E197" s="16"/>
      <c r="F197" s="16"/>
      <c r="G197" s="17"/>
    </row>
    <row r="198" spans="1:7" ht="18" customHeight="1">
      <c r="A198" s="16"/>
      <c r="B198" s="25"/>
      <c r="C198" s="25"/>
      <c r="D198" s="25"/>
      <c r="E198" s="16"/>
      <c r="F198" s="16"/>
      <c r="G198" s="17"/>
    </row>
    <row r="199" spans="1:7" ht="18" customHeight="1">
      <c r="A199" s="16"/>
      <c r="B199" s="25"/>
      <c r="C199" s="25"/>
      <c r="D199" s="25"/>
      <c r="E199" s="16"/>
      <c r="F199" s="16"/>
      <c r="G199" s="17"/>
    </row>
    <row r="200" spans="1:7" ht="18" customHeight="1">
      <c r="A200" s="16"/>
      <c r="B200" s="25"/>
      <c r="C200" s="25"/>
      <c r="D200" s="25"/>
      <c r="E200" s="16"/>
      <c r="F200" s="16"/>
      <c r="G200" s="17"/>
    </row>
    <row r="201" spans="1:7" ht="18" customHeight="1">
      <c r="A201" s="16"/>
      <c r="B201" s="25"/>
      <c r="C201" s="25"/>
      <c r="D201" s="25"/>
      <c r="E201" s="16"/>
      <c r="F201" s="16"/>
      <c r="G201" s="17"/>
    </row>
    <row r="202" spans="1:7" ht="18" customHeight="1">
      <c r="A202" s="16"/>
      <c r="B202" s="25"/>
      <c r="C202" s="25"/>
      <c r="D202" s="25"/>
      <c r="E202" s="16"/>
      <c r="F202" s="16"/>
      <c r="G202" s="17"/>
    </row>
    <row r="203" spans="1:7" ht="18" customHeight="1">
      <c r="A203" s="16"/>
      <c r="B203" s="25"/>
      <c r="C203" s="25"/>
      <c r="D203" s="25"/>
      <c r="E203" s="16"/>
      <c r="F203" s="16"/>
      <c r="G203" s="17"/>
    </row>
    <row r="204" spans="1:7" ht="18" customHeight="1">
      <c r="A204" s="16"/>
      <c r="B204" s="25"/>
      <c r="C204" s="25"/>
      <c r="D204" s="25"/>
      <c r="E204" s="16"/>
      <c r="F204" s="16"/>
      <c r="G204" s="17"/>
    </row>
    <row r="205" spans="1:7" ht="18" customHeight="1">
      <c r="A205" s="16"/>
      <c r="B205" s="25"/>
      <c r="C205" s="25"/>
      <c r="D205" s="25"/>
      <c r="E205" s="16"/>
      <c r="F205" s="16"/>
      <c r="G205" s="17"/>
    </row>
    <row r="206" spans="1:7" ht="18" customHeight="1">
      <c r="A206" s="16"/>
      <c r="B206" s="25"/>
      <c r="C206" s="25"/>
      <c r="D206" s="25"/>
      <c r="E206" s="16"/>
      <c r="F206" s="16"/>
      <c r="G206" s="17"/>
    </row>
    <row r="207" spans="1:7" ht="18" customHeight="1">
      <c r="A207" s="16"/>
      <c r="B207" s="25"/>
      <c r="C207" s="25"/>
      <c r="D207" s="25"/>
      <c r="E207" s="16"/>
      <c r="F207" s="16"/>
      <c r="G207" s="17"/>
    </row>
    <row r="208" spans="1:7" ht="18" customHeight="1">
      <c r="A208" s="16"/>
      <c r="B208" s="25"/>
      <c r="C208" s="25"/>
      <c r="D208" s="25"/>
      <c r="E208" s="16"/>
      <c r="F208" s="16"/>
      <c r="G208" s="17"/>
    </row>
    <row r="209" spans="1:7" ht="18" customHeight="1">
      <c r="A209" s="16"/>
      <c r="B209" s="25"/>
      <c r="C209" s="25"/>
      <c r="D209" s="25"/>
      <c r="E209" s="16"/>
      <c r="F209" s="16"/>
      <c r="G209" s="17"/>
    </row>
    <row r="210" spans="1:7" ht="18" customHeight="1">
      <c r="A210" s="16"/>
      <c r="B210" s="25"/>
      <c r="C210" s="25"/>
      <c r="D210" s="25"/>
      <c r="E210" s="16"/>
      <c r="F210" s="16"/>
      <c r="G210" s="17"/>
    </row>
    <row r="211" spans="1:7" ht="18" customHeight="1">
      <c r="A211" s="16"/>
      <c r="B211" s="25"/>
      <c r="C211" s="25"/>
      <c r="D211" s="25"/>
      <c r="E211" s="16"/>
      <c r="F211" s="16"/>
      <c r="G211" s="17"/>
    </row>
    <row r="212" spans="1:7" ht="18" customHeight="1">
      <c r="A212" s="16"/>
      <c r="B212" s="25"/>
      <c r="C212" s="25"/>
      <c r="D212" s="25"/>
      <c r="E212" s="16"/>
      <c r="F212" s="16"/>
      <c r="G212" s="17"/>
    </row>
    <row r="213" spans="1:7" ht="18" customHeight="1">
      <c r="A213" s="16"/>
      <c r="B213" s="25"/>
      <c r="C213" s="25"/>
      <c r="D213" s="25"/>
      <c r="E213" s="16"/>
      <c r="F213" s="16"/>
      <c r="G213" s="17"/>
    </row>
    <row r="214" spans="1:7" ht="18" customHeight="1">
      <c r="A214" s="16"/>
      <c r="B214" s="25"/>
      <c r="C214" s="25"/>
      <c r="D214" s="25"/>
      <c r="E214" s="16"/>
      <c r="F214" s="16"/>
      <c r="G214" s="17"/>
    </row>
    <row r="215" spans="1:7" ht="18" customHeight="1">
      <c r="A215" s="16"/>
      <c r="B215" s="25"/>
      <c r="C215" s="25"/>
      <c r="D215" s="25"/>
      <c r="E215" s="16"/>
      <c r="F215" s="16"/>
      <c r="G215" s="17"/>
    </row>
    <row r="216" spans="1:7" ht="18" customHeight="1">
      <c r="A216" s="16"/>
      <c r="B216" s="25"/>
      <c r="C216" s="25"/>
      <c r="D216" s="25"/>
      <c r="E216" s="16"/>
      <c r="F216" s="16"/>
      <c r="G216" s="17"/>
    </row>
    <row r="217" spans="1:7" ht="18" customHeight="1">
      <c r="A217" s="16"/>
      <c r="B217" s="25"/>
      <c r="C217" s="25"/>
      <c r="D217" s="25"/>
      <c r="E217" s="16"/>
      <c r="F217" s="16"/>
      <c r="G217" s="17"/>
    </row>
    <row r="218" spans="1:7" ht="18" customHeight="1">
      <c r="A218" s="16"/>
      <c r="B218" s="25"/>
      <c r="C218" s="25"/>
      <c r="D218" s="25"/>
      <c r="E218" s="16"/>
      <c r="F218" s="16"/>
      <c r="G218" s="17"/>
    </row>
    <row r="219" spans="1:7" ht="18" customHeight="1">
      <c r="A219" s="16"/>
      <c r="B219" s="25"/>
      <c r="C219" s="25"/>
      <c r="D219" s="25"/>
      <c r="E219" s="16"/>
      <c r="F219" s="16"/>
      <c r="G219" s="17"/>
    </row>
    <row r="220" spans="1:7" ht="18" customHeight="1">
      <c r="A220" s="16"/>
      <c r="B220" s="25"/>
      <c r="C220" s="25"/>
      <c r="D220" s="25"/>
      <c r="E220" s="16"/>
      <c r="F220" s="16"/>
      <c r="G220" s="17"/>
    </row>
    <row r="221" spans="1:7" ht="18" customHeight="1">
      <c r="A221" s="16"/>
      <c r="B221" s="25"/>
      <c r="C221" s="25"/>
      <c r="D221" s="25"/>
      <c r="E221" s="16"/>
      <c r="F221" s="16"/>
      <c r="G221" s="17"/>
    </row>
    <row r="222" spans="1:7" ht="18" customHeight="1">
      <c r="A222" s="16"/>
      <c r="B222" s="25"/>
      <c r="C222" s="25"/>
      <c r="D222" s="25"/>
      <c r="E222" s="16"/>
      <c r="F222" s="16"/>
      <c r="G222" s="17"/>
    </row>
    <row r="223" spans="1:7" ht="18" customHeight="1">
      <c r="A223" s="16"/>
      <c r="B223" s="25"/>
      <c r="C223" s="25"/>
      <c r="D223" s="25"/>
      <c r="E223" s="16"/>
      <c r="F223" s="16"/>
      <c r="G223" s="17"/>
    </row>
    <row r="224" spans="1:7" ht="18" customHeight="1">
      <c r="A224" s="16"/>
      <c r="B224" s="25"/>
      <c r="C224" s="25"/>
      <c r="D224" s="25"/>
      <c r="E224" s="16"/>
      <c r="F224" s="16"/>
      <c r="G224" s="17"/>
    </row>
    <row r="225" spans="1:7" ht="18" customHeight="1">
      <c r="A225" s="16"/>
      <c r="B225" s="25"/>
      <c r="C225" s="25"/>
      <c r="D225" s="25"/>
      <c r="E225" s="16"/>
      <c r="F225" s="16"/>
      <c r="G225" s="17"/>
    </row>
    <row r="226" spans="1:7" ht="18" customHeight="1">
      <c r="A226" s="16"/>
      <c r="B226" s="25"/>
      <c r="C226" s="25"/>
      <c r="D226" s="25"/>
      <c r="E226" s="16"/>
      <c r="F226" s="16"/>
      <c r="G226" s="17"/>
    </row>
    <row r="227" spans="1:7" ht="18" customHeight="1">
      <c r="A227" s="16"/>
      <c r="B227" s="25"/>
      <c r="C227" s="25"/>
      <c r="D227" s="25"/>
      <c r="E227" s="16"/>
      <c r="F227" s="16"/>
      <c r="G227" s="17"/>
    </row>
    <row r="228" spans="1:7" ht="18" customHeight="1">
      <c r="A228" s="16"/>
      <c r="B228" s="25"/>
      <c r="C228" s="25"/>
      <c r="D228" s="25"/>
      <c r="E228" s="16"/>
      <c r="F228" s="16"/>
      <c r="G228" s="17"/>
    </row>
    <row r="229" spans="1:7" ht="18" customHeight="1">
      <c r="A229" s="16"/>
      <c r="B229" s="25"/>
      <c r="C229" s="25"/>
      <c r="D229" s="25"/>
      <c r="E229" s="16"/>
      <c r="F229" s="16"/>
      <c r="G229" s="17"/>
    </row>
    <row r="230" spans="1:7" ht="18" customHeight="1">
      <c r="A230" s="16"/>
      <c r="B230" s="25"/>
      <c r="C230" s="25"/>
      <c r="D230" s="25"/>
      <c r="E230" s="16"/>
      <c r="F230" s="16"/>
      <c r="G230" s="17"/>
    </row>
    <row r="231" spans="1:7" ht="18" customHeight="1">
      <c r="A231" s="16"/>
      <c r="B231" s="25"/>
      <c r="C231" s="25"/>
      <c r="D231" s="25"/>
      <c r="E231" s="16"/>
      <c r="F231" s="16"/>
      <c r="G231" s="17"/>
    </row>
    <row r="232" spans="1:7" ht="18" customHeight="1">
      <c r="A232" s="16"/>
      <c r="B232" s="25"/>
      <c r="C232" s="25"/>
      <c r="D232" s="25"/>
      <c r="E232" s="16"/>
      <c r="F232" s="16"/>
      <c r="G232" s="17"/>
    </row>
    <row r="233" spans="1:7" ht="18" customHeight="1">
      <c r="A233" s="16"/>
      <c r="B233" s="25"/>
      <c r="C233" s="25"/>
      <c r="D233" s="25"/>
      <c r="E233" s="16"/>
      <c r="F233" s="16"/>
      <c r="G233" s="17"/>
    </row>
    <row r="234" spans="1:7" ht="18" customHeight="1">
      <c r="A234" s="16"/>
      <c r="B234" s="25"/>
      <c r="C234" s="25"/>
      <c r="D234" s="25"/>
      <c r="E234" s="16"/>
      <c r="F234" s="16"/>
      <c r="G234" s="17"/>
    </row>
    <row r="235" spans="1:7" ht="18" customHeight="1">
      <c r="A235" s="16"/>
      <c r="B235" s="25"/>
      <c r="C235" s="25"/>
      <c r="D235" s="25"/>
      <c r="E235" s="16"/>
      <c r="F235" s="16"/>
      <c r="G235" s="17"/>
    </row>
    <row r="236" spans="1:7" ht="18" customHeight="1">
      <c r="A236" s="16"/>
      <c r="B236" s="25"/>
      <c r="C236" s="25"/>
      <c r="D236" s="25"/>
      <c r="E236" s="16"/>
      <c r="F236" s="16"/>
      <c r="G236" s="17"/>
    </row>
    <row r="237" spans="1:7" ht="18" customHeight="1">
      <c r="A237" s="16"/>
      <c r="B237" s="25"/>
      <c r="C237" s="25"/>
      <c r="D237" s="25"/>
      <c r="E237" s="16"/>
      <c r="F237" s="16"/>
      <c r="G237" s="17"/>
    </row>
    <row r="238" spans="1:7" ht="18" customHeight="1">
      <c r="A238" s="16"/>
      <c r="B238" s="25"/>
      <c r="C238" s="25"/>
      <c r="D238" s="25"/>
      <c r="E238" s="16"/>
      <c r="F238" s="16"/>
      <c r="G238" s="17"/>
    </row>
    <row r="239" spans="1:7" ht="18" customHeight="1">
      <c r="A239" s="16"/>
      <c r="B239" s="25"/>
      <c r="C239" s="25"/>
      <c r="D239" s="25"/>
      <c r="E239" s="16"/>
      <c r="F239" s="16"/>
      <c r="G239" s="17"/>
    </row>
    <row r="240" spans="1:7" ht="18" customHeight="1">
      <c r="A240" s="16"/>
      <c r="B240" s="25"/>
      <c r="C240" s="25"/>
      <c r="D240" s="25"/>
      <c r="E240" s="16"/>
      <c r="F240" s="16"/>
      <c r="G240" s="17"/>
    </row>
    <row r="241" spans="1:7" ht="18" customHeight="1">
      <c r="A241" s="16"/>
      <c r="B241" s="25"/>
      <c r="C241" s="25"/>
      <c r="D241" s="25"/>
      <c r="E241" s="16"/>
      <c r="F241" s="16"/>
      <c r="G241" s="17"/>
    </row>
    <row r="242" spans="1:7" ht="18" customHeight="1">
      <c r="A242" s="16"/>
      <c r="B242" s="25"/>
      <c r="C242" s="25"/>
      <c r="D242" s="25"/>
      <c r="E242" s="16"/>
      <c r="F242" s="16"/>
      <c r="G242" s="17"/>
    </row>
    <row r="243" spans="1:7" ht="18" customHeight="1">
      <c r="A243" s="16"/>
      <c r="B243" s="25"/>
      <c r="C243" s="25"/>
      <c r="D243" s="25"/>
      <c r="E243" s="16"/>
      <c r="F243" s="16"/>
      <c r="G243" s="17"/>
    </row>
    <row r="244" spans="1:7" ht="18" customHeight="1">
      <c r="A244" s="16"/>
      <c r="B244" s="25"/>
      <c r="C244" s="25"/>
      <c r="D244" s="25"/>
      <c r="E244" s="16"/>
      <c r="F244" s="16"/>
      <c r="G244" s="17"/>
    </row>
    <row r="245" spans="1:7" ht="18" customHeight="1">
      <c r="A245" s="16"/>
      <c r="B245" s="25"/>
      <c r="C245" s="25"/>
      <c r="D245" s="25"/>
      <c r="E245" s="16"/>
      <c r="F245" s="16"/>
      <c r="G245" s="17"/>
    </row>
    <row r="246" spans="1:7" ht="18" customHeight="1">
      <c r="A246" s="16"/>
      <c r="B246" s="25"/>
      <c r="C246" s="25"/>
      <c r="D246" s="25"/>
      <c r="E246" s="16"/>
      <c r="F246" s="16"/>
      <c r="G246" s="17"/>
    </row>
    <row r="247" spans="1:7" ht="18" customHeight="1">
      <c r="A247" s="16"/>
      <c r="B247" s="25"/>
      <c r="C247" s="25"/>
      <c r="D247" s="25"/>
      <c r="E247" s="16"/>
      <c r="F247" s="16"/>
      <c r="G247" s="17"/>
    </row>
    <row r="248" spans="1:7" ht="18" customHeight="1">
      <c r="A248" s="16"/>
      <c r="B248" s="25"/>
      <c r="C248" s="25"/>
      <c r="D248" s="25"/>
      <c r="E248" s="16"/>
      <c r="F248" s="16"/>
      <c r="G248" s="17"/>
    </row>
    <row r="249" spans="1:7" ht="18" customHeight="1">
      <c r="A249" s="16"/>
      <c r="B249" s="25"/>
      <c r="C249" s="25"/>
      <c r="D249" s="25"/>
      <c r="E249" s="16"/>
      <c r="F249" s="16"/>
      <c r="G249" s="17"/>
    </row>
    <row r="250" spans="1:7" ht="18" customHeight="1">
      <c r="A250" s="16"/>
      <c r="B250" s="25"/>
      <c r="C250" s="25"/>
      <c r="D250" s="25"/>
      <c r="E250" s="16"/>
      <c r="F250" s="16"/>
      <c r="G250" s="17"/>
    </row>
    <row r="251" spans="1:7" ht="18" customHeight="1">
      <c r="A251" s="16"/>
      <c r="B251" s="25"/>
      <c r="C251" s="25"/>
      <c r="D251" s="25"/>
      <c r="E251" s="16"/>
      <c r="F251" s="16"/>
      <c r="G251" s="17"/>
    </row>
    <row r="252" spans="1:7" ht="18" customHeight="1">
      <c r="A252" s="16"/>
      <c r="B252" s="25"/>
      <c r="C252" s="25"/>
      <c r="D252" s="25"/>
      <c r="E252" s="16"/>
      <c r="F252" s="16"/>
      <c r="G252" s="17"/>
    </row>
    <row r="253" spans="1:7" ht="18" customHeight="1">
      <c r="A253" s="16"/>
      <c r="B253" s="25"/>
      <c r="C253" s="25"/>
      <c r="D253" s="25"/>
      <c r="E253" s="16"/>
      <c r="F253" s="16"/>
      <c r="G253" s="17"/>
    </row>
    <row r="254" spans="1:7" ht="18" customHeight="1">
      <c r="A254" s="16"/>
      <c r="B254" s="25"/>
      <c r="C254" s="25"/>
      <c r="D254" s="25"/>
      <c r="E254" s="16"/>
      <c r="F254" s="16"/>
      <c r="G254" s="17"/>
    </row>
    <row r="255" spans="1:7" ht="18" customHeight="1">
      <c r="A255" s="16"/>
      <c r="B255" s="25"/>
      <c r="C255" s="25"/>
      <c r="D255" s="25"/>
      <c r="E255" s="16"/>
      <c r="F255" s="16"/>
      <c r="G255" s="17"/>
    </row>
    <row r="256" spans="1:7" ht="18" customHeight="1">
      <c r="A256" s="16"/>
      <c r="B256" s="25"/>
      <c r="C256" s="25"/>
      <c r="D256" s="25"/>
      <c r="E256" s="16"/>
      <c r="F256" s="16"/>
      <c r="G256" s="17"/>
    </row>
    <row r="257" spans="1:7" ht="18" customHeight="1">
      <c r="A257" s="16"/>
      <c r="B257" s="25"/>
      <c r="C257" s="25"/>
      <c r="D257" s="25"/>
      <c r="E257" s="16"/>
      <c r="F257" s="16"/>
      <c r="G257" s="17"/>
    </row>
    <row r="258" spans="1:7" ht="18" customHeight="1">
      <c r="A258" s="16"/>
      <c r="B258" s="25"/>
      <c r="C258" s="25"/>
      <c r="D258" s="25"/>
      <c r="E258" s="16"/>
      <c r="F258" s="16"/>
      <c r="G258" s="17"/>
    </row>
    <row r="259" spans="1:7" ht="18" customHeight="1">
      <c r="A259" s="16"/>
      <c r="B259" s="25"/>
      <c r="C259" s="25"/>
      <c r="D259" s="25"/>
      <c r="E259" s="16"/>
      <c r="F259" s="16"/>
      <c r="G259" s="17"/>
    </row>
    <row r="260" spans="1:7" ht="18" customHeight="1">
      <c r="A260" s="16"/>
      <c r="B260" s="25"/>
      <c r="C260" s="25"/>
      <c r="D260" s="25"/>
      <c r="E260" s="16"/>
      <c r="F260" s="16"/>
      <c r="G260" s="17"/>
    </row>
    <row r="261" spans="1:7" ht="18" customHeight="1">
      <c r="A261" s="16"/>
      <c r="B261" s="25"/>
      <c r="C261" s="25"/>
      <c r="D261" s="25"/>
      <c r="E261" s="16"/>
      <c r="F261" s="16"/>
      <c r="G261" s="17"/>
    </row>
    <row r="262" spans="1:7" ht="18" customHeight="1">
      <c r="A262" s="16"/>
      <c r="B262" s="25"/>
      <c r="C262" s="25"/>
      <c r="D262" s="25"/>
      <c r="E262" s="16"/>
      <c r="F262" s="16"/>
      <c r="G262" s="17"/>
    </row>
    <row r="263" spans="1:7" ht="18" customHeight="1">
      <c r="A263" s="16"/>
      <c r="B263" s="25"/>
      <c r="C263" s="25"/>
      <c r="D263" s="25"/>
      <c r="E263" s="16"/>
      <c r="F263" s="16"/>
      <c r="G263" s="17"/>
    </row>
    <row r="264" spans="1:7" ht="18" customHeight="1">
      <c r="A264" s="16"/>
      <c r="B264" s="25"/>
      <c r="C264" s="25"/>
      <c r="D264" s="25"/>
      <c r="E264" s="16"/>
      <c r="F264" s="16"/>
      <c r="G264" s="17"/>
    </row>
    <row r="265" spans="1:7" ht="18" customHeight="1">
      <c r="A265" s="16"/>
      <c r="B265" s="25"/>
      <c r="C265" s="25"/>
      <c r="D265" s="25"/>
      <c r="E265" s="16"/>
      <c r="F265" s="16"/>
      <c r="G265" s="17"/>
    </row>
    <row r="266" spans="1:7" ht="18" customHeight="1">
      <c r="A266" s="16"/>
      <c r="B266" s="25"/>
      <c r="C266" s="25"/>
      <c r="D266" s="25"/>
      <c r="E266" s="16"/>
      <c r="F266" s="16"/>
      <c r="G266" s="17"/>
    </row>
    <row r="267" spans="1:7" ht="18" customHeight="1">
      <c r="A267" s="16"/>
      <c r="B267" s="25"/>
      <c r="C267" s="25"/>
      <c r="D267" s="25"/>
      <c r="E267" s="16"/>
      <c r="F267" s="16"/>
      <c r="G267" s="17"/>
    </row>
    <row r="268" spans="1:7" ht="18" customHeight="1">
      <c r="A268" s="16"/>
      <c r="B268" s="25"/>
      <c r="C268" s="25"/>
      <c r="D268" s="25"/>
      <c r="E268" s="16"/>
      <c r="F268" s="16"/>
      <c r="G268" s="17"/>
    </row>
    <row r="269" spans="1:7" ht="18" customHeight="1">
      <c r="A269" s="16"/>
      <c r="B269" s="25"/>
      <c r="C269" s="25"/>
      <c r="D269" s="25"/>
      <c r="E269" s="16"/>
      <c r="F269" s="16"/>
      <c r="G269" s="17"/>
    </row>
    <row r="270" spans="1:7" ht="18" customHeight="1">
      <c r="A270" s="16"/>
      <c r="B270" s="25"/>
      <c r="C270" s="25"/>
      <c r="D270" s="25"/>
      <c r="E270" s="16"/>
      <c r="F270" s="16"/>
      <c r="G270" s="17"/>
    </row>
    <row r="271" spans="1:7" ht="18" customHeight="1">
      <c r="A271" s="16"/>
      <c r="B271" s="25"/>
      <c r="C271" s="25"/>
      <c r="D271" s="25"/>
      <c r="E271" s="16"/>
      <c r="F271" s="16"/>
      <c r="G271" s="17"/>
    </row>
    <row r="272" spans="1:7" ht="18" customHeight="1">
      <c r="A272" s="16"/>
      <c r="B272" s="25"/>
      <c r="C272" s="25"/>
      <c r="D272" s="25"/>
      <c r="E272" s="16"/>
      <c r="F272" s="16"/>
      <c r="G272" s="17"/>
    </row>
    <row r="273" spans="1:7" ht="18" customHeight="1">
      <c r="A273" s="16"/>
      <c r="B273" s="25"/>
      <c r="C273" s="25"/>
      <c r="D273" s="25"/>
      <c r="E273" s="16"/>
      <c r="F273" s="16"/>
      <c r="G273" s="17"/>
    </row>
    <row r="274" spans="1:7" ht="18" customHeight="1">
      <c r="A274" s="16"/>
      <c r="B274" s="25"/>
      <c r="C274" s="25"/>
      <c r="D274" s="25"/>
      <c r="E274" s="16"/>
      <c r="F274" s="16"/>
      <c r="G274" s="17"/>
    </row>
    <row r="275" spans="1:7" ht="18" customHeight="1">
      <c r="A275" s="16"/>
      <c r="B275" s="25"/>
      <c r="C275" s="25"/>
      <c r="D275" s="25"/>
      <c r="E275" s="16"/>
      <c r="F275" s="16"/>
      <c r="G275" s="17"/>
    </row>
    <row r="276" spans="1:7" ht="18" customHeight="1">
      <c r="A276" s="16"/>
      <c r="B276" s="25"/>
      <c r="C276" s="25"/>
      <c r="D276" s="25"/>
      <c r="E276" s="16"/>
      <c r="F276" s="16"/>
      <c r="G276" s="17"/>
    </row>
    <row r="277" spans="1:7" ht="18" customHeight="1">
      <c r="A277" s="16"/>
      <c r="B277" s="25"/>
      <c r="C277" s="25"/>
      <c r="D277" s="25"/>
      <c r="E277" s="16"/>
      <c r="F277" s="16"/>
      <c r="G277" s="17"/>
    </row>
    <row r="278" spans="1:7" ht="18" customHeight="1">
      <c r="A278" s="16"/>
      <c r="B278" s="25"/>
      <c r="C278" s="25"/>
      <c r="D278" s="25"/>
      <c r="E278" s="16"/>
      <c r="F278" s="16"/>
      <c r="G278" s="17"/>
    </row>
    <row r="279" spans="1:7" ht="18" customHeight="1">
      <c r="A279" s="16"/>
      <c r="B279" s="25"/>
      <c r="C279" s="25"/>
      <c r="D279" s="25"/>
      <c r="E279" s="16"/>
      <c r="F279" s="16"/>
      <c r="G279" s="17"/>
    </row>
    <row r="280" spans="1:7" ht="18" customHeight="1">
      <c r="A280" s="16"/>
      <c r="B280" s="25"/>
      <c r="C280" s="25"/>
      <c r="D280" s="25"/>
      <c r="E280" s="16"/>
      <c r="F280" s="16"/>
      <c r="G280" s="17"/>
    </row>
    <row r="281" spans="1:7" ht="18" customHeight="1">
      <c r="A281" s="16"/>
      <c r="B281" s="25"/>
      <c r="C281" s="25"/>
      <c r="D281" s="25"/>
      <c r="E281" s="16"/>
      <c r="F281" s="16"/>
      <c r="G281" s="17"/>
    </row>
    <row r="282" spans="1:7" ht="18" customHeight="1">
      <c r="A282" s="16"/>
      <c r="B282" s="25"/>
      <c r="C282" s="25"/>
      <c r="D282" s="25"/>
      <c r="E282" s="16"/>
      <c r="F282" s="16"/>
      <c r="G282" s="17"/>
    </row>
    <row r="283" spans="1:7" ht="18" customHeight="1">
      <c r="A283" s="16"/>
      <c r="B283" s="25"/>
      <c r="C283" s="25"/>
      <c r="D283" s="25"/>
      <c r="E283" s="16"/>
      <c r="F283" s="16"/>
      <c r="G283" s="17"/>
    </row>
    <row r="284" spans="1:7" ht="18" customHeight="1">
      <c r="A284" s="16"/>
      <c r="B284" s="25"/>
      <c r="C284" s="25"/>
      <c r="D284" s="25"/>
      <c r="E284" s="16"/>
      <c r="F284" s="16"/>
      <c r="G284" s="17"/>
    </row>
    <row r="285" spans="1:7" ht="18" customHeight="1">
      <c r="A285" s="16"/>
      <c r="B285" s="25"/>
      <c r="C285" s="25"/>
      <c r="D285" s="25"/>
      <c r="E285" s="16"/>
      <c r="F285" s="16"/>
      <c r="G285" s="17"/>
    </row>
    <row r="286" spans="1:7" ht="18" customHeight="1">
      <c r="A286" s="16"/>
      <c r="B286" s="25"/>
      <c r="C286" s="25"/>
      <c r="D286" s="25"/>
      <c r="E286" s="16"/>
      <c r="F286" s="16"/>
      <c r="G286" s="17"/>
    </row>
    <row r="287" spans="1:7" ht="18" customHeight="1">
      <c r="A287" s="16"/>
      <c r="B287" s="25"/>
      <c r="C287" s="25"/>
      <c r="D287" s="25"/>
      <c r="E287" s="16"/>
      <c r="F287" s="16"/>
      <c r="G287" s="17"/>
    </row>
    <row r="288" spans="1:7" ht="18" customHeight="1">
      <c r="A288" s="16"/>
      <c r="B288" s="25"/>
      <c r="C288" s="25"/>
      <c r="D288" s="25"/>
      <c r="E288" s="16"/>
      <c r="F288" s="16"/>
      <c r="G288" s="17"/>
    </row>
    <row r="289" spans="1:7" ht="18" customHeight="1">
      <c r="A289" s="16"/>
      <c r="B289" s="25"/>
      <c r="C289" s="25"/>
      <c r="D289" s="25"/>
      <c r="E289" s="16"/>
      <c r="F289" s="16"/>
      <c r="G289" s="17"/>
    </row>
    <row r="290" spans="1:7" ht="18" customHeight="1">
      <c r="A290" s="16"/>
      <c r="B290" s="25"/>
      <c r="C290" s="25"/>
      <c r="D290" s="25"/>
      <c r="E290" s="16"/>
      <c r="F290" s="16"/>
      <c r="G290" s="17"/>
    </row>
    <row r="291" spans="1:7" ht="18" customHeight="1">
      <c r="A291" s="16"/>
      <c r="B291" s="25"/>
      <c r="C291" s="25"/>
      <c r="D291" s="25"/>
      <c r="E291" s="16"/>
      <c r="F291" s="16"/>
      <c r="G291" s="17"/>
    </row>
    <row r="292" spans="1:7" ht="18" customHeight="1">
      <c r="A292" s="16"/>
      <c r="B292" s="25"/>
      <c r="C292" s="25"/>
      <c r="D292" s="25"/>
      <c r="E292" s="16"/>
      <c r="F292" s="16"/>
      <c r="G292" s="17"/>
    </row>
    <row r="293" spans="1:7" ht="18" customHeight="1">
      <c r="A293" s="16"/>
      <c r="B293" s="25"/>
      <c r="C293" s="25"/>
      <c r="D293" s="25"/>
      <c r="E293" s="16"/>
      <c r="F293" s="16"/>
      <c r="G293" s="17"/>
    </row>
    <row r="294" spans="1:7" ht="18" customHeight="1">
      <c r="A294" s="16"/>
      <c r="B294" s="25"/>
      <c r="C294" s="25"/>
      <c r="D294" s="25"/>
      <c r="E294" s="16"/>
      <c r="F294" s="16"/>
      <c r="G294" s="17"/>
    </row>
    <row r="295" spans="1:7" ht="18" customHeight="1">
      <c r="A295" s="16"/>
      <c r="B295" s="25"/>
      <c r="C295" s="25"/>
      <c r="D295" s="25"/>
      <c r="E295" s="16"/>
      <c r="F295" s="16"/>
      <c r="G295" s="17"/>
    </row>
    <row r="296" spans="1:7" ht="18" customHeight="1">
      <c r="A296" s="16"/>
      <c r="B296" s="25"/>
      <c r="C296" s="25"/>
      <c r="D296" s="25"/>
      <c r="E296" s="16"/>
      <c r="F296" s="16"/>
      <c r="G296" s="17"/>
    </row>
    <row r="297" spans="1:7" ht="18" customHeight="1">
      <c r="A297" s="16"/>
      <c r="B297" s="25"/>
      <c r="C297" s="25"/>
      <c r="D297" s="25"/>
      <c r="E297" s="16"/>
      <c r="F297" s="16"/>
      <c r="G297" s="17"/>
    </row>
    <row r="298" spans="1:7" ht="18" customHeight="1">
      <c r="A298" s="16"/>
      <c r="B298" s="25"/>
      <c r="C298" s="25"/>
      <c r="D298" s="25"/>
      <c r="E298" s="16"/>
      <c r="F298" s="16"/>
      <c r="G298" s="17"/>
    </row>
    <row r="299" spans="1:7" ht="18" customHeight="1">
      <c r="A299" s="16"/>
      <c r="B299" s="25"/>
      <c r="C299" s="25"/>
      <c r="D299" s="25"/>
      <c r="E299" s="16"/>
      <c r="F299" s="16"/>
      <c r="G299" s="17"/>
    </row>
    <row r="300" spans="1:7" ht="18" customHeight="1">
      <c r="A300" s="16"/>
      <c r="B300" s="25"/>
      <c r="C300" s="25"/>
      <c r="D300" s="25"/>
      <c r="E300" s="16"/>
      <c r="F300" s="16"/>
      <c r="G300" s="17"/>
    </row>
    <row r="301" spans="1:7" ht="18" customHeight="1">
      <c r="A301" s="16"/>
      <c r="B301" s="25"/>
      <c r="C301" s="25"/>
      <c r="D301" s="25"/>
      <c r="E301" s="16"/>
      <c r="F301" s="16"/>
      <c r="G301" s="17"/>
    </row>
    <row r="302" spans="1:7" ht="18" customHeight="1">
      <c r="A302" s="16"/>
      <c r="B302" s="25"/>
      <c r="C302" s="25"/>
      <c r="D302" s="25"/>
      <c r="E302" s="16"/>
      <c r="F302" s="16"/>
      <c r="G302" s="17"/>
    </row>
    <row r="303" spans="1:7" ht="18" customHeight="1">
      <c r="A303" s="16"/>
      <c r="B303" s="25"/>
      <c r="C303" s="25"/>
      <c r="D303" s="25"/>
      <c r="E303" s="16"/>
      <c r="F303" s="16"/>
      <c r="G303" s="17"/>
    </row>
    <row r="304" spans="1:7" ht="18" customHeight="1">
      <c r="A304" s="16"/>
      <c r="B304" s="25"/>
      <c r="C304" s="25"/>
      <c r="D304" s="25"/>
      <c r="E304" s="16"/>
      <c r="F304" s="16"/>
      <c r="G304" s="17"/>
    </row>
    <row r="305" spans="1:7" ht="18" customHeight="1">
      <c r="A305" s="16"/>
      <c r="B305" s="25"/>
      <c r="C305" s="25"/>
      <c r="D305" s="25"/>
      <c r="E305" s="16"/>
      <c r="F305" s="16"/>
      <c r="G305" s="17"/>
    </row>
    <row r="306" spans="1:7" ht="18" customHeight="1">
      <c r="A306" s="16"/>
      <c r="B306" s="25"/>
      <c r="C306" s="25"/>
      <c r="D306" s="25"/>
      <c r="E306" s="16"/>
      <c r="F306" s="16"/>
      <c r="G306" s="17"/>
    </row>
    <row r="307" spans="1:7" ht="18" customHeight="1">
      <c r="A307" s="16"/>
      <c r="B307" s="25"/>
      <c r="C307" s="25"/>
      <c r="D307" s="25"/>
      <c r="E307" s="16"/>
      <c r="F307" s="16"/>
      <c r="G307" s="17"/>
    </row>
    <row r="308" spans="1:7" ht="18" customHeight="1">
      <c r="A308" s="16"/>
      <c r="B308" s="25"/>
      <c r="C308" s="25"/>
      <c r="D308" s="25"/>
      <c r="E308" s="16"/>
      <c r="F308" s="16"/>
      <c r="G308" s="17"/>
    </row>
    <row r="309" spans="1:7" ht="18" customHeight="1">
      <c r="A309" s="16"/>
      <c r="B309" s="25"/>
      <c r="C309" s="25"/>
      <c r="D309" s="25"/>
      <c r="E309" s="16"/>
      <c r="F309" s="16"/>
      <c r="G309" s="17"/>
    </row>
    <row r="310" spans="1:7" ht="18" customHeight="1">
      <c r="A310" s="16"/>
      <c r="B310" s="25"/>
      <c r="C310" s="25"/>
      <c r="D310" s="25"/>
      <c r="E310" s="16"/>
      <c r="F310" s="16"/>
      <c r="G310" s="17"/>
    </row>
    <row r="311" spans="1:7" ht="18" customHeight="1">
      <c r="A311" s="16"/>
      <c r="B311" s="25"/>
      <c r="C311" s="25"/>
      <c r="D311" s="25"/>
      <c r="E311" s="16"/>
      <c r="F311" s="16"/>
      <c r="G311" s="17"/>
    </row>
    <row r="312" spans="1:7" ht="18" customHeight="1">
      <c r="A312" s="16"/>
      <c r="B312" s="25"/>
      <c r="C312" s="25"/>
      <c r="D312" s="25"/>
      <c r="E312" s="16"/>
      <c r="F312" s="16"/>
      <c r="G312" s="17"/>
    </row>
    <row r="313" spans="1:7" ht="18" customHeight="1">
      <c r="A313" s="16"/>
      <c r="B313" s="25"/>
      <c r="C313" s="25"/>
      <c r="D313" s="25"/>
      <c r="E313" s="16"/>
      <c r="F313" s="16"/>
      <c r="G313" s="17"/>
    </row>
    <row r="314" spans="1:7" ht="18" customHeight="1">
      <c r="A314" s="16"/>
      <c r="B314" s="25"/>
      <c r="C314" s="25"/>
      <c r="D314" s="25"/>
      <c r="E314" s="16"/>
      <c r="F314" s="16"/>
      <c r="G314" s="17"/>
    </row>
    <row r="315" spans="1:7" ht="18" customHeight="1">
      <c r="A315" s="16"/>
      <c r="B315" s="25"/>
      <c r="C315" s="25"/>
      <c r="D315" s="25"/>
      <c r="E315" s="16"/>
      <c r="F315" s="16"/>
      <c r="G315" s="17"/>
    </row>
    <row r="316" spans="1:7" ht="18" customHeight="1">
      <c r="A316" s="16"/>
      <c r="B316" s="25"/>
      <c r="C316" s="25"/>
      <c r="D316" s="25"/>
      <c r="E316" s="16"/>
      <c r="F316" s="16"/>
      <c r="G316" s="17"/>
    </row>
    <row r="317" spans="1:7" ht="18" customHeight="1">
      <c r="A317" s="16"/>
      <c r="B317" s="25"/>
      <c r="C317" s="25"/>
      <c r="D317" s="25"/>
      <c r="E317" s="16"/>
      <c r="F317" s="16"/>
      <c r="G317" s="17"/>
    </row>
    <row r="318" spans="1:7" ht="18" customHeight="1">
      <c r="A318" s="16"/>
      <c r="B318" s="25"/>
      <c r="C318" s="25"/>
      <c r="D318" s="25"/>
      <c r="E318" s="16"/>
      <c r="F318" s="16"/>
      <c r="G318" s="17"/>
    </row>
    <row r="319" spans="1:7" ht="18" customHeight="1">
      <c r="A319" s="16"/>
      <c r="B319" s="25"/>
      <c r="C319" s="25"/>
      <c r="D319" s="25"/>
      <c r="E319" s="16"/>
      <c r="F319" s="16"/>
      <c r="G319" s="17"/>
    </row>
    <row r="320" spans="1:7" ht="18" customHeight="1">
      <c r="A320" s="16"/>
      <c r="B320" s="25"/>
      <c r="C320" s="25"/>
      <c r="D320" s="25"/>
      <c r="E320" s="16"/>
      <c r="F320" s="16"/>
      <c r="G320" s="17"/>
    </row>
    <row r="321" spans="1:7" ht="18" customHeight="1">
      <c r="A321" s="16"/>
      <c r="B321" s="25"/>
      <c r="C321" s="25"/>
      <c r="D321" s="25"/>
      <c r="E321" s="16"/>
      <c r="F321" s="16"/>
      <c r="G321" s="17"/>
    </row>
    <row r="322" spans="1:7" ht="18" customHeight="1">
      <c r="A322" s="16"/>
      <c r="B322" s="25"/>
      <c r="C322" s="25"/>
      <c r="D322" s="25"/>
      <c r="E322" s="16"/>
      <c r="F322" s="16"/>
      <c r="G322" s="17"/>
    </row>
    <row r="323" spans="1:7" ht="18" customHeight="1">
      <c r="A323" s="16"/>
      <c r="B323" s="25"/>
      <c r="C323" s="25"/>
      <c r="D323" s="25"/>
      <c r="E323" s="16"/>
      <c r="F323" s="16"/>
      <c r="G323" s="17"/>
    </row>
    <row r="324" spans="1:7" ht="18" customHeight="1">
      <c r="A324" s="16"/>
      <c r="B324" s="25"/>
      <c r="C324" s="25"/>
      <c r="D324" s="25"/>
      <c r="E324" s="16"/>
      <c r="F324" s="16"/>
      <c r="G324" s="17"/>
    </row>
    <row r="325" spans="1:7" ht="18" customHeight="1">
      <c r="A325" s="16"/>
      <c r="B325" s="25"/>
      <c r="C325" s="25"/>
      <c r="D325" s="25"/>
      <c r="E325" s="16"/>
      <c r="F325" s="16"/>
      <c r="G325" s="17"/>
    </row>
    <row r="326" spans="1:7" ht="18" customHeight="1">
      <c r="A326" s="16"/>
      <c r="B326" s="25"/>
      <c r="C326" s="25"/>
      <c r="D326" s="25"/>
      <c r="E326" s="16"/>
      <c r="F326" s="16"/>
      <c r="G326" s="17"/>
    </row>
    <row r="327" spans="1:7" ht="18" customHeight="1">
      <c r="A327" s="16"/>
      <c r="B327" s="25"/>
      <c r="C327" s="25"/>
      <c r="D327" s="25"/>
      <c r="E327" s="16"/>
      <c r="F327" s="16"/>
      <c r="G327" s="17"/>
    </row>
    <row r="328" spans="1:7" ht="18" customHeight="1">
      <c r="A328" s="16"/>
      <c r="B328" s="25"/>
      <c r="C328" s="25"/>
      <c r="D328" s="25"/>
      <c r="E328" s="16"/>
      <c r="F328" s="16"/>
      <c r="G328" s="17"/>
    </row>
    <row r="329" spans="1:7" ht="18" customHeight="1">
      <c r="A329" s="16"/>
      <c r="B329" s="25"/>
      <c r="C329" s="25"/>
      <c r="D329" s="25"/>
      <c r="E329" s="16"/>
      <c r="F329" s="16"/>
      <c r="G329" s="17"/>
    </row>
    <row r="330" spans="1:7" ht="18" customHeight="1">
      <c r="A330" s="16"/>
      <c r="B330" s="25"/>
      <c r="C330" s="25"/>
      <c r="D330" s="25"/>
      <c r="E330" s="16"/>
      <c r="F330" s="16"/>
      <c r="G330" s="17"/>
    </row>
    <row r="331" spans="1:7" ht="18" customHeight="1">
      <c r="A331" s="16"/>
      <c r="B331" s="25"/>
      <c r="C331" s="25"/>
      <c r="D331" s="25"/>
      <c r="E331" s="16"/>
      <c r="F331" s="16"/>
      <c r="G331" s="17"/>
    </row>
    <row r="332" spans="1:7" ht="18" customHeight="1">
      <c r="A332" s="16"/>
      <c r="B332" s="25"/>
      <c r="C332" s="25"/>
      <c r="D332" s="25"/>
      <c r="E332" s="16"/>
      <c r="F332" s="16"/>
      <c r="G332" s="17"/>
    </row>
    <row r="333" spans="1:7" ht="18" customHeight="1">
      <c r="A333" s="16"/>
      <c r="B333" s="25"/>
      <c r="C333" s="25"/>
      <c r="D333" s="25"/>
      <c r="E333" s="16"/>
      <c r="F333" s="16"/>
      <c r="G333" s="17"/>
    </row>
    <row r="334" spans="1:7" ht="18" customHeight="1">
      <c r="A334" s="16"/>
      <c r="B334" s="25"/>
      <c r="C334" s="25"/>
      <c r="D334" s="25"/>
      <c r="E334" s="16"/>
      <c r="F334" s="16"/>
      <c r="G334" s="17"/>
    </row>
    <row r="335" spans="1:7" ht="18" customHeight="1">
      <c r="A335" s="16"/>
      <c r="B335" s="25"/>
      <c r="C335" s="25"/>
      <c r="D335" s="25"/>
      <c r="E335" s="16"/>
      <c r="F335" s="16"/>
      <c r="G335" s="17"/>
    </row>
    <row r="336" spans="1:7" ht="18" customHeight="1">
      <c r="A336" s="16"/>
      <c r="B336" s="25"/>
      <c r="C336" s="25"/>
      <c r="D336" s="25"/>
      <c r="E336" s="16"/>
      <c r="F336" s="16"/>
      <c r="G336" s="17"/>
    </row>
    <row r="337" spans="1:7" ht="18" customHeight="1">
      <c r="A337" s="16"/>
      <c r="B337" s="25"/>
      <c r="C337" s="25"/>
      <c r="D337" s="25"/>
      <c r="E337" s="16"/>
      <c r="F337" s="16"/>
      <c r="G337" s="17"/>
    </row>
    <row r="338" spans="1:7" ht="18" customHeight="1">
      <c r="A338" s="16"/>
      <c r="B338" s="25"/>
      <c r="C338" s="25"/>
      <c r="D338" s="25"/>
      <c r="E338" s="16"/>
      <c r="F338" s="16"/>
      <c r="G338" s="17"/>
    </row>
    <row r="339" spans="1:7" ht="18" customHeight="1">
      <c r="A339" s="16"/>
      <c r="B339" s="25"/>
      <c r="C339" s="25"/>
      <c r="D339" s="25"/>
      <c r="E339" s="16"/>
      <c r="F339" s="16"/>
      <c r="G339" s="17"/>
    </row>
    <row r="340" spans="1:7" ht="18" customHeight="1">
      <c r="A340" s="16"/>
      <c r="B340" s="25"/>
      <c r="C340" s="25"/>
      <c r="D340" s="25"/>
      <c r="E340" s="16"/>
      <c r="F340" s="16"/>
      <c r="G340" s="17"/>
    </row>
    <row r="341" spans="1:7" ht="18" customHeight="1">
      <c r="A341" s="16"/>
      <c r="B341" s="25"/>
      <c r="C341" s="25"/>
      <c r="D341" s="25"/>
      <c r="E341" s="16"/>
      <c r="F341" s="16"/>
      <c r="G341" s="17"/>
    </row>
    <row r="342" spans="1:7" ht="18" customHeight="1">
      <c r="A342" s="16"/>
      <c r="B342" s="25"/>
      <c r="C342" s="25"/>
      <c r="D342" s="25"/>
      <c r="E342" s="16"/>
      <c r="F342" s="16"/>
      <c r="G342" s="17"/>
    </row>
    <row r="343" spans="1:7" ht="18" customHeight="1">
      <c r="A343" s="16"/>
      <c r="B343" s="25"/>
      <c r="C343" s="25"/>
      <c r="D343" s="25"/>
      <c r="E343" s="16"/>
      <c r="F343" s="16"/>
      <c r="G343" s="17"/>
    </row>
    <row r="344" spans="1:7" ht="18" customHeight="1">
      <c r="A344" s="16"/>
      <c r="B344" s="25"/>
      <c r="C344" s="25"/>
      <c r="D344" s="25"/>
      <c r="E344" s="16"/>
      <c r="F344" s="16"/>
      <c r="G344" s="17"/>
    </row>
    <row r="345" spans="1:7" ht="18" customHeight="1">
      <c r="A345" s="16"/>
      <c r="B345" s="25"/>
      <c r="C345" s="25"/>
      <c r="D345" s="25"/>
      <c r="E345" s="16"/>
      <c r="F345" s="16"/>
      <c r="G345" s="17"/>
    </row>
    <row r="346" spans="1:7" ht="18" customHeight="1">
      <c r="A346" s="16"/>
      <c r="B346" s="25"/>
      <c r="C346" s="25"/>
      <c r="D346" s="25"/>
      <c r="E346" s="16"/>
      <c r="F346" s="16"/>
      <c r="G346" s="17"/>
    </row>
    <row r="347" spans="1:7" ht="18" customHeight="1">
      <c r="A347" s="16"/>
      <c r="B347" s="25"/>
      <c r="C347" s="25"/>
      <c r="D347" s="25"/>
      <c r="E347" s="16"/>
      <c r="F347" s="16"/>
      <c r="G347" s="17"/>
    </row>
    <row r="348" spans="1:7" ht="18" customHeight="1">
      <c r="A348" s="16"/>
      <c r="B348" s="25"/>
      <c r="C348" s="25"/>
      <c r="D348" s="25"/>
      <c r="E348" s="16"/>
      <c r="F348" s="16"/>
      <c r="G348" s="17"/>
    </row>
    <row r="349" spans="1:7" ht="18" customHeight="1">
      <c r="A349" s="16"/>
      <c r="B349" s="25"/>
      <c r="C349" s="25"/>
      <c r="D349" s="25"/>
      <c r="E349" s="16"/>
      <c r="F349" s="16"/>
      <c r="G349" s="17"/>
    </row>
    <row r="350" spans="1:7" ht="18" customHeight="1">
      <c r="A350" s="16"/>
      <c r="B350" s="25"/>
      <c r="C350" s="25"/>
      <c r="D350" s="25"/>
      <c r="E350" s="16"/>
      <c r="F350" s="16"/>
      <c r="G350" s="17"/>
    </row>
    <row r="351" spans="1:7" ht="18" customHeight="1">
      <c r="A351" s="16"/>
      <c r="B351" s="25"/>
      <c r="C351" s="25"/>
      <c r="D351" s="25"/>
      <c r="E351" s="16"/>
      <c r="F351" s="16"/>
      <c r="G351" s="17"/>
    </row>
    <row r="352" spans="1:7" ht="18" customHeight="1">
      <c r="A352" s="16"/>
      <c r="B352" s="25"/>
      <c r="C352" s="25"/>
      <c r="D352" s="25"/>
      <c r="E352" s="16"/>
      <c r="F352" s="16"/>
      <c r="G352" s="17"/>
    </row>
    <row r="353" spans="1:7" ht="18" customHeight="1">
      <c r="A353" s="16"/>
      <c r="B353" s="25"/>
      <c r="C353" s="25"/>
      <c r="D353" s="25"/>
      <c r="E353" s="16"/>
      <c r="F353" s="16"/>
      <c r="G353" s="17"/>
    </row>
    <row r="354" spans="1:7" ht="18" customHeight="1">
      <c r="A354" s="16"/>
      <c r="B354" s="25"/>
      <c r="C354" s="25"/>
      <c r="D354" s="25"/>
      <c r="E354" s="16"/>
      <c r="F354" s="16"/>
      <c r="G354" s="17"/>
    </row>
    <row r="355" spans="1:7" ht="18" customHeight="1">
      <c r="A355" s="16"/>
      <c r="B355" s="25"/>
      <c r="C355" s="25"/>
      <c r="D355" s="25"/>
      <c r="E355" s="16"/>
      <c r="F355" s="16"/>
      <c r="G355" s="17"/>
    </row>
    <row r="356" spans="1:7" ht="18" customHeight="1">
      <c r="A356" s="16"/>
      <c r="B356" s="25"/>
      <c r="C356" s="25"/>
      <c r="D356" s="25"/>
      <c r="E356" s="16"/>
      <c r="F356" s="16"/>
      <c r="G356" s="17"/>
    </row>
    <row r="357" spans="1:7" ht="18" customHeight="1">
      <c r="A357" s="16"/>
      <c r="B357" s="25"/>
      <c r="C357" s="25"/>
      <c r="D357" s="25"/>
      <c r="E357" s="16"/>
      <c r="F357" s="16"/>
      <c r="G357" s="17"/>
    </row>
    <row r="358" spans="1:7" ht="18" customHeight="1">
      <c r="A358" s="16"/>
      <c r="B358" s="25"/>
      <c r="C358" s="25"/>
      <c r="D358" s="25"/>
      <c r="E358" s="16"/>
      <c r="F358" s="16"/>
      <c r="G358" s="17"/>
    </row>
    <row r="359" spans="1:7" ht="18" customHeight="1">
      <c r="A359" s="16"/>
      <c r="B359" s="25"/>
      <c r="C359" s="25"/>
      <c r="D359" s="25"/>
      <c r="E359" s="16"/>
      <c r="F359" s="16"/>
      <c r="G359" s="17"/>
    </row>
    <row r="360" spans="1:7" ht="18" customHeight="1">
      <c r="A360" s="16"/>
      <c r="B360" s="25"/>
      <c r="C360" s="25"/>
      <c r="D360" s="25"/>
      <c r="E360" s="16"/>
      <c r="F360" s="16"/>
      <c r="G360" s="17"/>
    </row>
    <row r="361" spans="1:7" ht="18" customHeight="1">
      <c r="A361" s="16"/>
      <c r="B361" s="25"/>
      <c r="C361" s="25"/>
      <c r="D361" s="25"/>
      <c r="E361" s="16"/>
      <c r="F361" s="16"/>
      <c r="G361" s="17"/>
    </row>
    <row r="362" spans="1:7" ht="18" customHeight="1">
      <c r="A362" s="16"/>
      <c r="B362" s="25"/>
      <c r="C362" s="25"/>
      <c r="D362" s="25"/>
      <c r="E362" s="16"/>
      <c r="F362" s="16"/>
      <c r="G362" s="17"/>
    </row>
    <row r="363" spans="1:7" ht="18" customHeight="1">
      <c r="A363" s="16"/>
      <c r="B363" s="25"/>
      <c r="C363" s="25"/>
      <c r="D363" s="25"/>
      <c r="E363" s="16"/>
      <c r="F363" s="16"/>
      <c r="G363" s="17"/>
    </row>
    <row r="364" spans="1:7" ht="18" customHeight="1">
      <c r="A364" s="16"/>
      <c r="B364" s="25"/>
      <c r="C364" s="25"/>
      <c r="D364" s="25"/>
      <c r="E364" s="16"/>
      <c r="F364" s="16"/>
      <c r="G364" s="17"/>
    </row>
    <row r="365" spans="1:7" ht="18" customHeight="1">
      <c r="A365" s="16"/>
      <c r="B365" s="25"/>
      <c r="C365" s="25"/>
      <c r="D365" s="25"/>
      <c r="E365" s="16"/>
      <c r="F365" s="16"/>
      <c r="G365" s="17"/>
    </row>
    <row r="366" spans="1:7" ht="18" customHeight="1">
      <c r="A366" s="16"/>
      <c r="B366" s="25"/>
      <c r="C366" s="25"/>
      <c r="D366" s="25"/>
      <c r="E366" s="16"/>
      <c r="F366" s="16"/>
      <c r="G366" s="17"/>
    </row>
    <row r="367" spans="1:7" ht="18" customHeight="1">
      <c r="A367" s="16"/>
      <c r="B367" s="25"/>
      <c r="C367" s="25"/>
      <c r="D367" s="25"/>
      <c r="E367" s="16"/>
      <c r="F367" s="16"/>
      <c r="G367" s="17"/>
    </row>
    <row r="368" spans="1:7" ht="18" customHeight="1">
      <c r="A368" s="16"/>
      <c r="B368" s="25"/>
      <c r="C368" s="25"/>
      <c r="D368" s="25"/>
      <c r="E368" s="16"/>
      <c r="F368" s="16"/>
      <c r="G368" s="17"/>
    </row>
    <row r="369" spans="1:7" ht="18" customHeight="1">
      <c r="A369" s="16"/>
      <c r="B369" s="25"/>
      <c r="C369" s="25"/>
      <c r="D369" s="25"/>
      <c r="E369" s="16"/>
      <c r="F369" s="16"/>
      <c r="G369" s="17"/>
    </row>
    <row r="370" spans="1:7" ht="18" customHeight="1">
      <c r="A370" s="16"/>
      <c r="B370" s="25"/>
      <c r="C370" s="25"/>
      <c r="D370" s="25"/>
      <c r="E370" s="16"/>
      <c r="F370" s="16"/>
      <c r="G370" s="17"/>
    </row>
    <row r="371" spans="1:7" ht="18" customHeight="1">
      <c r="A371" s="16"/>
      <c r="B371" s="25"/>
      <c r="C371" s="25"/>
      <c r="D371" s="25"/>
      <c r="E371" s="16"/>
      <c r="F371" s="16"/>
      <c r="G371" s="17"/>
    </row>
    <row r="372" spans="1:7" ht="18" customHeight="1">
      <c r="A372" s="16"/>
      <c r="B372" s="25"/>
      <c r="C372" s="25"/>
      <c r="D372" s="25"/>
      <c r="E372" s="16"/>
      <c r="F372" s="16"/>
      <c r="G372" s="17"/>
    </row>
    <row r="373" spans="1:7" ht="18" customHeight="1">
      <c r="A373" s="16"/>
      <c r="B373" s="25"/>
      <c r="C373" s="25"/>
      <c r="D373" s="25"/>
      <c r="E373" s="16"/>
      <c r="F373" s="16"/>
      <c r="G373" s="17"/>
    </row>
    <row r="374" spans="1:7" ht="18" customHeight="1">
      <c r="A374" s="16"/>
      <c r="B374" s="25"/>
      <c r="C374" s="25"/>
      <c r="D374" s="25"/>
      <c r="E374" s="16"/>
      <c r="F374" s="16"/>
      <c r="G374" s="17"/>
    </row>
    <row r="375" spans="1:7" ht="18" customHeight="1">
      <c r="A375" s="16"/>
      <c r="B375" s="25"/>
      <c r="C375" s="25"/>
      <c r="D375" s="25"/>
      <c r="E375" s="16"/>
      <c r="F375" s="16"/>
      <c r="G375" s="17"/>
    </row>
    <row r="376" spans="1:7" ht="18" customHeight="1">
      <c r="A376" s="16"/>
      <c r="B376" s="25"/>
      <c r="C376" s="25"/>
      <c r="D376" s="25"/>
      <c r="E376" s="16"/>
      <c r="F376" s="16"/>
      <c r="G376" s="17"/>
    </row>
    <row r="377" spans="1:7" ht="18" customHeight="1">
      <c r="A377" s="16"/>
      <c r="B377" s="25"/>
      <c r="C377" s="25"/>
      <c r="D377" s="25"/>
      <c r="E377" s="16"/>
      <c r="F377" s="16"/>
      <c r="G377" s="17"/>
    </row>
    <row r="378" spans="1:7" ht="18" customHeight="1">
      <c r="A378" s="16"/>
      <c r="B378" s="25"/>
      <c r="C378" s="25"/>
      <c r="D378" s="25"/>
      <c r="E378" s="16"/>
      <c r="F378" s="16"/>
      <c r="G378" s="17"/>
    </row>
    <row r="379" spans="1:7" ht="18" customHeight="1">
      <c r="A379" s="16"/>
      <c r="B379" s="25"/>
      <c r="C379" s="25"/>
      <c r="D379" s="25"/>
      <c r="E379" s="16"/>
      <c r="F379" s="16"/>
      <c r="G379" s="17"/>
    </row>
    <row r="380" spans="1:7" ht="18" customHeight="1">
      <c r="A380" s="16"/>
      <c r="B380" s="25"/>
      <c r="C380" s="25"/>
      <c r="D380" s="25"/>
      <c r="E380" s="16"/>
      <c r="F380" s="16"/>
      <c r="G380" s="17"/>
    </row>
    <row r="381" spans="1:7" ht="18" customHeight="1">
      <c r="A381" s="16"/>
      <c r="B381" s="25"/>
      <c r="C381" s="25"/>
      <c r="D381" s="25"/>
      <c r="E381" s="16"/>
      <c r="F381" s="16"/>
      <c r="G381" s="17"/>
    </row>
    <row r="382" spans="1:7" ht="18" customHeight="1">
      <c r="A382" s="16"/>
      <c r="B382" s="25"/>
      <c r="C382" s="25"/>
      <c r="D382" s="25"/>
      <c r="E382" s="16"/>
      <c r="F382" s="16"/>
      <c r="G382" s="17"/>
    </row>
    <row r="383" spans="1:7" ht="18" customHeight="1">
      <c r="A383" s="16"/>
      <c r="B383" s="25"/>
      <c r="C383" s="25"/>
      <c r="D383" s="25"/>
      <c r="E383" s="16"/>
      <c r="F383" s="16"/>
      <c r="G383" s="17"/>
    </row>
    <row r="384" spans="1:7" ht="18" customHeight="1">
      <c r="A384" s="16"/>
      <c r="B384" s="25"/>
      <c r="C384" s="25"/>
      <c r="D384" s="25"/>
      <c r="E384" s="16"/>
      <c r="F384" s="16"/>
      <c r="G384" s="17"/>
    </row>
    <row r="385" spans="1:7" ht="18" customHeight="1">
      <c r="A385" s="16"/>
      <c r="B385" s="25"/>
      <c r="C385" s="25"/>
      <c r="D385" s="25"/>
      <c r="E385" s="16"/>
      <c r="F385" s="16"/>
      <c r="G385" s="17"/>
    </row>
    <row r="386" spans="1:7" ht="18" customHeight="1">
      <c r="A386" s="16"/>
      <c r="B386" s="25"/>
      <c r="C386" s="25"/>
      <c r="D386" s="25"/>
      <c r="E386" s="16"/>
      <c r="F386" s="16"/>
      <c r="G386" s="17"/>
    </row>
    <row r="387" spans="1:7" ht="18" customHeight="1">
      <c r="A387" s="16"/>
      <c r="B387" s="25"/>
      <c r="C387" s="25"/>
      <c r="D387" s="25"/>
      <c r="E387" s="16"/>
      <c r="F387" s="16"/>
      <c r="G387" s="17"/>
    </row>
    <row r="388" spans="1:7" ht="18" customHeight="1">
      <c r="A388" s="16"/>
      <c r="B388" s="25"/>
      <c r="C388" s="25"/>
      <c r="D388" s="25"/>
      <c r="E388" s="16"/>
      <c r="F388" s="16"/>
      <c r="G388" s="17"/>
    </row>
    <row r="389" spans="1:7" ht="18" customHeight="1">
      <c r="A389" s="16"/>
      <c r="B389" s="25"/>
      <c r="C389" s="25"/>
      <c r="D389" s="25"/>
      <c r="E389" s="16"/>
      <c r="F389" s="16"/>
      <c r="G389" s="17"/>
    </row>
    <row r="390" spans="1:7" ht="18" customHeight="1">
      <c r="A390" s="16"/>
      <c r="B390" s="25"/>
      <c r="C390" s="25"/>
      <c r="D390" s="25"/>
      <c r="E390" s="16"/>
      <c r="F390" s="16"/>
      <c r="G390" s="17"/>
    </row>
    <row r="391" spans="1:7" ht="18" customHeight="1">
      <c r="A391" s="16"/>
      <c r="B391" s="25"/>
      <c r="C391" s="25"/>
      <c r="D391" s="25"/>
      <c r="E391" s="16"/>
      <c r="F391" s="16"/>
      <c r="G391" s="17"/>
    </row>
    <row r="392" spans="1:7" ht="18" customHeight="1">
      <c r="A392" s="16"/>
      <c r="B392" s="25"/>
      <c r="C392" s="25"/>
      <c r="D392" s="25"/>
      <c r="E392" s="16"/>
      <c r="F392" s="16"/>
      <c r="G392" s="17"/>
    </row>
    <row r="393" spans="1:7" ht="18" customHeight="1">
      <c r="A393" s="16"/>
      <c r="B393" s="25"/>
      <c r="C393" s="25"/>
      <c r="D393" s="25"/>
      <c r="E393" s="16"/>
      <c r="F393" s="16"/>
      <c r="G393" s="17"/>
    </row>
    <row r="394" spans="1:7" ht="18" customHeight="1">
      <c r="A394" s="16"/>
      <c r="B394" s="25"/>
      <c r="C394" s="25"/>
      <c r="D394" s="25"/>
      <c r="E394" s="16"/>
      <c r="F394" s="16"/>
      <c r="G394" s="17"/>
    </row>
    <row r="395" spans="1:7" ht="18" customHeight="1">
      <c r="A395" s="16"/>
      <c r="B395" s="25"/>
      <c r="C395" s="25"/>
      <c r="D395" s="25"/>
      <c r="E395" s="16"/>
      <c r="F395" s="16"/>
      <c r="G395" s="17"/>
    </row>
    <row r="396" spans="1:7" ht="18" customHeight="1">
      <c r="A396" s="16"/>
      <c r="B396" s="25"/>
      <c r="C396" s="25"/>
      <c r="D396" s="25"/>
      <c r="E396" s="16"/>
      <c r="F396" s="16"/>
      <c r="G396" s="17"/>
    </row>
    <row r="397" spans="1:7" ht="18" customHeight="1">
      <c r="A397" s="16"/>
      <c r="B397" s="25"/>
      <c r="C397" s="25"/>
      <c r="D397" s="25"/>
      <c r="E397" s="16"/>
      <c r="F397" s="16"/>
      <c r="G397" s="17"/>
    </row>
    <row r="398" spans="1:7" ht="18" customHeight="1">
      <c r="A398" s="16"/>
      <c r="B398" s="25"/>
      <c r="C398" s="25"/>
      <c r="D398" s="25"/>
      <c r="E398" s="16"/>
      <c r="F398" s="16"/>
      <c r="G398" s="17"/>
    </row>
    <row r="399" spans="1:7" ht="18" customHeight="1">
      <c r="A399" s="16"/>
      <c r="B399" s="25"/>
      <c r="C399" s="25"/>
      <c r="D399" s="25"/>
      <c r="E399" s="16"/>
      <c r="F399" s="16"/>
      <c r="G399" s="17"/>
    </row>
    <row r="400" spans="1:7" ht="18" customHeight="1">
      <c r="A400" s="16"/>
      <c r="B400" s="25"/>
      <c r="C400" s="25"/>
      <c r="D400" s="25"/>
      <c r="E400" s="16"/>
      <c r="F400" s="16"/>
      <c r="G400" s="17"/>
    </row>
    <row r="401" spans="1:7" ht="18" customHeight="1">
      <c r="A401" s="16"/>
      <c r="B401" s="25"/>
      <c r="C401" s="25"/>
      <c r="D401" s="25"/>
      <c r="E401" s="16"/>
      <c r="F401" s="16"/>
      <c r="G401" s="17"/>
    </row>
    <row r="402" spans="1:7" ht="18" customHeight="1">
      <c r="A402" s="16"/>
      <c r="B402" s="25"/>
      <c r="C402" s="25"/>
      <c r="D402" s="25"/>
      <c r="E402" s="16"/>
      <c r="F402" s="16"/>
      <c r="G402" s="17"/>
    </row>
    <row r="403" spans="1:7" ht="18" customHeight="1">
      <c r="A403" s="16"/>
      <c r="B403" s="25"/>
      <c r="C403" s="25"/>
      <c r="D403" s="25"/>
      <c r="E403" s="16"/>
      <c r="F403" s="16"/>
      <c r="G403" s="17"/>
    </row>
    <row r="404" spans="1:7" ht="18" customHeight="1">
      <c r="A404" s="16"/>
      <c r="B404" s="25"/>
      <c r="C404" s="25"/>
      <c r="D404" s="25"/>
      <c r="E404" s="16"/>
      <c r="F404" s="16"/>
      <c r="G404" s="17"/>
    </row>
    <row r="405" spans="1:7" ht="18" customHeight="1">
      <c r="A405" s="16"/>
      <c r="B405" s="25"/>
      <c r="C405" s="25"/>
      <c r="D405" s="25"/>
      <c r="E405" s="16"/>
      <c r="F405" s="16"/>
      <c r="G405" s="17"/>
    </row>
    <row r="406" spans="1:7" ht="18" customHeight="1">
      <c r="A406" s="16"/>
      <c r="B406" s="25"/>
      <c r="C406" s="25"/>
      <c r="D406" s="25"/>
      <c r="E406" s="16"/>
      <c r="F406" s="16"/>
      <c r="G406" s="17"/>
    </row>
    <row r="407" spans="1:7" ht="18" customHeight="1">
      <c r="A407" s="16"/>
      <c r="B407" s="25"/>
      <c r="C407" s="25"/>
      <c r="D407" s="25"/>
      <c r="E407" s="16"/>
      <c r="F407" s="16"/>
      <c r="G407" s="17"/>
    </row>
    <row r="408" spans="1:7" ht="18" customHeight="1">
      <c r="A408" s="16"/>
      <c r="B408" s="25"/>
      <c r="C408" s="25"/>
      <c r="D408" s="25"/>
      <c r="E408" s="16"/>
      <c r="F408" s="16"/>
      <c r="G408" s="17"/>
    </row>
    <row r="409" spans="1:7" ht="18" customHeight="1">
      <c r="A409" s="16"/>
      <c r="B409" s="25"/>
      <c r="C409" s="25"/>
      <c r="D409" s="25"/>
      <c r="E409" s="16"/>
      <c r="F409" s="16"/>
      <c r="G409" s="17"/>
    </row>
    <row r="410" spans="1:7" ht="18" customHeight="1">
      <c r="A410" s="16"/>
      <c r="B410" s="25"/>
      <c r="C410" s="25"/>
      <c r="D410" s="25"/>
      <c r="E410" s="16"/>
      <c r="F410" s="16"/>
      <c r="G410" s="17"/>
    </row>
    <row r="411" spans="1:7" ht="18" customHeight="1">
      <c r="A411" s="16"/>
      <c r="B411" s="25"/>
      <c r="C411" s="25"/>
      <c r="D411" s="25"/>
      <c r="E411" s="16"/>
      <c r="F411" s="16"/>
      <c r="G411" s="17"/>
    </row>
    <row r="412" spans="1:7" ht="18" customHeight="1">
      <c r="A412" s="16"/>
      <c r="B412" s="25"/>
      <c r="C412" s="25"/>
      <c r="D412" s="25"/>
      <c r="E412" s="16"/>
      <c r="F412" s="16"/>
      <c r="G412" s="17"/>
    </row>
    <row r="413" spans="1:7" ht="18" customHeight="1">
      <c r="A413" s="16"/>
      <c r="B413" s="25"/>
      <c r="C413" s="25"/>
      <c r="D413" s="25"/>
      <c r="E413" s="16"/>
      <c r="F413" s="16"/>
      <c r="G413" s="17"/>
    </row>
    <row r="414" spans="1:7" ht="18" customHeight="1">
      <c r="A414" s="16"/>
      <c r="B414" s="25"/>
      <c r="C414" s="25"/>
      <c r="D414" s="25"/>
      <c r="E414" s="16"/>
      <c r="F414" s="16"/>
      <c r="G414" s="17"/>
    </row>
    <row r="415" spans="1:7" ht="18" customHeight="1">
      <c r="A415" s="16"/>
      <c r="B415" s="25"/>
      <c r="C415" s="25"/>
      <c r="D415" s="25"/>
      <c r="E415" s="16"/>
      <c r="F415" s="16"/>
      <c r="G415" s="17"/>
    </row>
    <row r="416" spans="1:7" ht="18" customHeight="1">
      <c r="A416" s="16"/>
      <c r="B416" s="25"/>
      <c r="C416" s="25"/>
      <c r="D416" s="25"/>
      <c r="E416" s="16"/>
      <c r="F416" s="16"/>
      <c r="G416" s="17"/>
    </row>
    <row r="417" spans="1:7" ht="18" customHeight="1">
      <c r="A417" s="16"/>
      <c r="B417" s="25"/>
      <c r="C417" s="25"/>
      <c r="D417" s="25"/>
      <c r="E417" s="16"/>
      <c r="F417" s="16"/>
      <c r="G417" s="17"/>
    </row>
    <row r="418" spans="1:7" ht="18" customHeight="1">
      <c r="A418" s="16"/>
      <c r="B418" s="25"/>
      <c r="C418" s="25"/>
      <c r="D418" s="25"/>
      <c r="E418" s="16"/>
      <c r="F418" s="16"/>
      <c r="G418" s="17"/>
    </row>
    <row r="419" spans="1:7" ht="18" customHeight="1">
      <c r="A419" s="16"/>
      <c r="B419" s="25"/>
      <c r="C419" s="25"/>
      <c r="D419" s="25"/>
      <c r="E419" s="16"/>
      <c r="F419" s="16"/>
      <c r="G419" s="17"/>
    </row>
    <row r="420" spans="1:7" ht="18" customHeight="1">
      <c r="A420" s="16"/>
      <c r="B420" s="25"/>
      <c r="C420" s="25"/>
      <c r="D420" s="25"/>
      <c r="E420" s="16"/>
      <c r="F420" s="16"/>
      <c r="G420" s="17"/>
    </row>
    <row r="421" spans="1:7" ht="18" customHeight="1">
      <c r="A421" s="16"/>
      <c r="B421" s="25"/>
      <c r="C421" s="25"/>
      <c r="D421" s="25"/>
      <c r="E421" s="16"/>
      <c r="F421" s="16"/>
      <c r="G421" s="17"/>
    </row>
    <row r="422" spans="1:7" ht="18" customHeight="1">
      <c r="A422" s="16"/>
      <c r="B422" s="25"/>
      <c r="C422" s="25"/>
      <c r="D422" s="25"/>
      <c r="E422" s="16"/>
      <c r="F422" s="16"/>
      <c r="G422" s="17"/>
    </row>
    <row r="423" spans="1:7" ht="18" customHeight="1">
      <c r="A423" s="16"/>
      <c r="B423" s="25"/>
      <c r="C423" s="25"/>
      <c r="D423" s="25"/>
      <c r="E423" s="16"/>
      <c r="F423" s="16"/>
      <c r="G423" s="17"/>
    </row>
    <row r="424" spans="1:7" ht="18" customHeight="1">
      <c r="A424" s="16"/>
      <c r="B424" s="25"/>
      <c r="C424" s="25"/>
      <c r="D424" s="25"/>
      <c r="E424" s="16"/>
      <c r="F424" s="16"/>
      <c r="G424" s="17"/>
    </row>
    <row r="425" spans="1:7" ht="18" customHeight="1">
      <c r="A425" s="16"/>
      <c r="B425" s="25"/>
      <c r="C425" s="25"/>
      <c r="D425" s="25"/>
      <c r="E425" s="16"/>
      <c r="F425" s="16"/>
      <c r="G425" s="17"/>
    </row>
    <row r="426" spans="1:7" ht="18" customHeight="1">
      <c r="A426" s="16"/>
      <c r="B426" s="25"/>
      <c r="C426" s="25"/>
      <c r="D426" s="25"/>
      <c r="E426" s="16"/>
      <c r="F426" s="16"/>
      <c r="G426" s="17"/>
    </row>
    <row r="427" spans="1:7" ht="18" customHeight="1">
      <c r="A427" s="16"/>
      <c r="B427" s="25"/>
      <c r="C427" s="25"/>
      <c r="D427" s="25"/>
      <c r="E427" s="16"/>
      <c r="F427" s="16"/>
      <c r="G427" s="17"/>
    </row>
    <row r="428" spans="1:7" ht="18" customHeight="1">
      <c r="A428" s="16"/>
      <c r="B428" s="25"/>
      <c r="C428" s="25"/>
      <c r="D428" s="25"/>
      <c r="E428" s="16"/>
      <c r="F428" s="16"/>
      <c r="G428" s="17"/>
    </row>
    <row r="429" spans="1:7" ht="18" customHeight="1">
      <c r="A429" s="16"/>
      <c r="B429" s="25"/>
      <c r="C429" s="25"/>
      <c r="D429" s="25"/>
      <c r="E429" s="16"/>
      <c r="F429" s="16"/>
      <c r="G429" s="17"/>
    </row>
    <row r="430" spans="1:7" ht="18" customHeight="1">
      <c r="A430" s="16"/>
      <c r="B430" s="25"/>
      <c r="C430" s="25"/>
      <c r="D430" s="25"/>
      <c r="E430" s="16"/>
      <c r="F430" s="16"/>
      <c r="G430" s="17"/>
    </row>
    <row r="431" spans="1:7" ht="18" customHeight="1">
      <c r="A431" s="16"/>
      <c r="B431" s="25"/>
      <c r="C431" s="25"/>
      <c r="D431" s="25"/>
      <c r="E431" s="16"/>
      <c r="F431" s="16"/>
      <c r="G431" s="17"/>
    </row>
    <row r="432" spans="1:7" ht="18" customHeight="1">
      <c r="A432" s="16"/>
      <c r="B432" s="25"/>
      <c r="C432" s="25"/>
      <c r="D432" s="25"/>
      <c r="E432" s="16"/>
      <c r="F432" s="16"/>
      <c r="G432" s="17"/>
    </row>
    <row r="433" spans="1:7" ht="18" customHeight="1">
      <c r="A433" s="16"/>
      <c r="B433" s="25"/>
      <c r="C433" s="25"/>
      <c r="D433" s="25"/>
      <c r="E433" s="16"/>
      <c r="F433" s="16"/>
      <c r="G433" s="17"/>
    </row>
    <row r="434" spans="1:7" ht="18" customHeight="1">
      <c r="A434" s="16"/>
      <c r="B434" s="25"/>
      <c r="C434" s="25"/>
      <c r="D434" s="25"/>
      <c r="E434" s="16"/>
      <c r="F434" s="16"/>
      <c r="G434" s="17"/>
    </row>
    <row r="435" spans="1:7" ht="18" customHeight="1">
      <c r="A435" s="16"/>
      <c r="B435" s="25"/>
      <c r="C435" s="25"/>
      <c r="D435" s="25"/>
      <c r="E435" s="16"/>
      <c r="F435" s="16"/>
      <c r="G435" s="17"/>
    </row>
    <row r="436" spans="1:7" ht="18" customHeight="1">
      <c r="A436" s="16"/>
      <c r="B436" s="25"/>
      <c r="C436" s="25"/>
      <c r="D436" s="25"/>
      <c r="E436" s="16"/>
      <c r="F436" s="16"/>
      <c r="G436" s="17"/>
    </row>
    <row r="437" spans="1:7" ht="18" customHeight="1">
      <c r="A437" s="16"/>
      <c r="B437" s="25"/>
      <c r="C437" s="25"/>
      <c r="D437" s="25"/>
      <c r="E437" s="16"/>
      <c r="F437" s="16"/>
      <c r="G437" s="17"/>
    </row>
    <row r="438" spans="1:7" ht="18" customHeight="1">
      <c r="A438" s="16"/>
      <c r="B438" s="25"/>
      <c r="C438" s="25"/>
      <c r="D438" s="25"/>
      <c r="E438" s="16"/>
      <c r="F438" s="16"/>
      <c r="G438" s="17"/>
    </row>
    <row r="439" spans="1:7" ht="18" customHeight="1">
      <c r="A439" s="16"/>
      <c r="B439" s="25"/>
      <c r="C439" s="25"/>
      <c r="D439" s="25"/>
      <c r="E439" s="16"/>
      <c r="F439" s="16"/>
      <c r="G439" s="17"/>
    </row>
    <row r="440" spans="1:7" ht="18" customHeight="1">
      <c r="A440" s="16"/>
      <c r="B440" s="25"/>
      <c r="C440" s="25"/>
      <c r="D440" s="25"/>
      <c r="E440" s="16"/>
      <c r="F440" s="16"/>
      <c r="G440" s="17"/>
    </row>
    <row r="441" spans="1:7" ht="18" customHeight="1">
      <c r="A441" s="16"/>
      <c r="B441" s="25"/>
      <c r="C441" s="25"/>
      <c r="D441" s="25"/>
      <c r="E441" s="16"/>
      <c r="F441" s="16"/>
      <c r="G441" s="17"/>
    </row>
    <row r="442" spans="1:7" ht="18" customHeight="1">
      <c r="A442" s="16"/>
      <c r="B442" s="25"/>
      <c r="C442" s="25"/>
      <c r="D442" s="25"/>
      <c r="E442" s="16"/>
      <c r="F442" s="16"/>
      <c r="G442" s="17"/>
    </row>
    <row r="443" spans="1:7" ht="18" customHeight="1">
      <c r="A443" s="16"/>
      <c r="B443" s="25"/>
      <c r="C443" s="25"/>
      <c r="D443" s="25"/>
      <c r="E443" s="16"/>
      <c r="F443" s="16"/>
      <c r="G443" s="17"/>
    </row>
    <row r="444" spans="1:7" ht="18" customHeight="1">
      <c r="A444" s="16"/>
      <c r="B444" s="25"/>
      <c r="C444" s="25"/>
      <c r="D444" s="25"/>
      <c r="E444" s="16"/>
      <c r="F444" s="16"/>
      <c r="G444" s="17"/>
    </row>
    <row r="445" spans="1:7" ht="18" customHeight="1">
      <c r="A445" s="16"/>
      <c r="B445" s="25"/>
      <c r="C445" s="25"/>
      <c r="D445" s="25"/>
      <c r="E445" s="16"/>
      <c r="F445" s="16"/>
      <c r="G445" s="17"/>
    </row>
    <row r="446" spans="1:7" ht="18" customHeight="1">
      <c r="A446" s="16"/>
      <c r="B446" s="25"/>
      <c r="C446" s="25"/>
      <c r="D446" s="25"/>
      <c r="E446" s="16"/>
      <c r="F446" s="16"/>
      <c r="G446" s="17"/>
    </row>
    <row r="447" spans="1:7" ht="18" customHeight="1">
      <c r="A447" s="16"/>
      <c r="B447" s="25"/>
      <c r="C447" s="25"/>
      <c r="D447" s="25"/>
      <c r="E447" s="16"/>
      <c r="F447" s="16"/>
      <c r="G447" s="17"/>
    </row>
    <row r="448" spans="1:7" ht="18" customHeight="1">
      <c r="A448" s="16"/>
      <c r="B448" s="25"/>
      <c r="C448" s="25"/>
      <c r="D448" s="25"/>
      <c r="E448" s="16"/>
      <c r="F448" s="16"/>
      <c r="G448" s="17"/>
    </row>
    <row r="449" spans="1:7" ht="18" customHeight="1">
      <c r="A449" s="16"/>
      <c r="B449" s="25"/>
      <c r="C449" s="25"/>
      <c r="D449" s="25"/>
      <c r="E449" s="16"/>
      <c r="F449" s="16"/>
      <c r="G449" s="17"/>
    </row>
    <row r="450" spans="1:7" ht="18" customHeight="1">
      <c r="A450" s="16"/>
      <c r="B450" s="25"/>
      <c r="C450" s="25"/>
      <c r="D450" s="25"/>
      <c r="E450" s="16"/>
      <c r="F450" s="16"/>
      <c r="G450" s="17"/>
    </row>
    <row r="451" spans="1:7" ht="18" customHeight="1">
      <c r="A451" s="16"/>
      <c r="B451" s="25"/>
      <c r="C451" s="25"/>
      <c r="D451" s="25"/>
      <c r="E451" s="16"/>
      <c r="F451" s="16"/>
      <c r="G451" s="17"/>
    </row>
    <row r="452" spans="1:7" ht="18" customHeight="1">
      <c r="A452" s="16"/>
      <c r="B452" s="25"/>
      <c r="C452" s="25"/>
      <c r="D452" s="25"/>
      <c r="E452" s="16"/>
      <c r="F452" s="16"/>
      <c r="G452" s="17"/>
    </row>
    <row r="453" spans="1:7" ht="18" customHeight="1">
      <c r="A453" s="16"/>
      <c r="B453" s="25"/>
      <c r="C453" s="25"/>
      <c r="D453" s="25"/>
      <c r="E453" s="16"/>
      <c r="F453" s="16"/>
      <c r="G453" s="17"/>
    </row>
    <row r="454" spans="1:7" ht="18" customHeight="1">
      <c r="A454" s="16"/>
      <c r="B454" s="25"/>
      <c r="C454" s="25"/>
      <c r="D454" s="25"/>
      <c r="E454" s="16"/>
      <c r="F454" s="16"/>
      <c r="G454" s="17"/>
    </row>
    <row r="455" spans="1:7" ht="18" customHeight="1">
      <c r="A455" s="16"/>
      <c r="B455" s="25"/>
      <c r="C455" s="25"/>
      <c r="D455" s="25"/>
      <c r="E455" s="16"/>
      <c r="F455" s="16"/>
      <c r="G455" s="17"/>
    </row>
    <row r="456" spans="1:7" ht="18" customHeight="1">
      <c r="A456" s="16"/>
      <c r="B456" s="25"/>
      <c r="C456" s="25"/>
      <c r="D456" s="25"/>
      <c r="E456" s="16"/>
      <c r="F456" s="16"/>
      <c r="G456" s="17"/>
    </row>
    <row r="457" spans="1:7" ht="18" customHeight="1">
      <c r="A457" s="16"/>
      <c r="B457" s="25"/>
      <c r="C457" s="25"/>
      <c r="D457" s="25"/>
      <c r="E457" s="16"/>
      <c r="F457" s="16"/>
      <c r="G457" s="17"/>
    </row>
    <row r="458" spans="1:7" ht="18" customHeight="1">
      <c r="A458" s="16"/>
      <c r="B458" s="25"/>
      <c r="C458" s="25"/>
      <c r="D458" s="25"/>
      <c r="E458" s="16"/>
      <c r="F458" s="16"/>
      <c r="G458" s="17"/>
    </row>
    <row r="459" spans="1:7" ht="18" customHeight="1">
      <c r="A459" s="16"/>
      <c r="B459" s="25"/>
      <c r="C459" s="25"/>
      <c r="D459" s="25"/>
      <c r="E459" s="16"/>
      <c r="F459" s="16"/>
      <c r="G459" s="17"/>
    </row>
    <row r="460" spans="1:7" ht="18" customHeight="1">
      <c r="A460" s="16"/>
      <c r="B460" s="25"/>
      <c r="C460" s="25"/>
      <c r="D460" s="25"/>
      <c r="E460" s="16"/>
      <c r="F460" s="16"/>
      <c r="G460" s="17"/>
    </row>
    <row r="461" spans="1:7" ht="18" customHeight="1">
      <c r="A461" s="16"/>
      <c r="B461" s="25"/>
      <c r="C461" s="25"/>
      <c r="D461" s="25"/>
      <c r="E461" s="16"/>
      <c r="F461" s="16"/>
      <c r="G461" s="17"/>
    </row>
    <row r="462" spans="1:7" ht="18" customHeight="1">
      <c r="A462" s="16"/>
      <c r="B462" s="25"/>
      <c r="C462" s="25"/>
      <c r="D462" s="25"/>
      <c r="E462" s="16"/>
      <c r="F462" s="16"/>
      <c r="G462" s="17"/>
    </row>
    <row r="463" spans="1:7" ht="18" customHeight="1">
      <c r="A463" s="16"/>
      <c r="B463" s="25"/>
      <c r="C463" s="25"/>
      <c r="D463" s="25"/>
      <c r="E463" s="16"/>
      <c r="F463" s="16"/>
      <c r="G463" s="17"/>
    </row>
    <row r="464" spans="1:7" ht="18" customHeight="1">
      <c r="A464" s="16"/>
      <c r="B464" s="25"/>
      <c r="C464" s="25"/>
      <c r="D464" s="25"/>
      <c r="E464" s="16"/>
      <c r="F464" s="16"/>
      <c r="G464" s="17"/>
    </row>
    <row r="465" spans="1:7" ht="18" customHeight="1">
      <c r="A465" s="16"/>
      <c r="B465" s="25"/>
      <c r="C465" s="25"/>
      <c r="D465" s="25"/>
      <c r="E465" s="16"/>
      <c r="F465" s="16"/>
      <c r="G465" s="17"/>
    </row>
    <row r="466" spans="1:7" ht="18" customHeight="1">
      <c r="A466" s="16"/>
      <c r="B466" s="25"/>
      <c r="C466" s="25"/>
      <c r="D466" s="25"/>
      <c r="E466" s="16"/>
      <c r="F466" s="16"/>
      <c r="G466" s="17"/>
    </row>
    <row r="467" spans="1:7" ht="18" customHeight="1">
      <c r="A467" s="16"/>
      <c r="B467" s="25"/>
      <c r="C467" s="25"/>
      <c r="D467" s="25"/>
      <c r="E467" s="16"/>
      <c r="F467" s="16"/>
      <c r="G467" s="17"/>
    </row>
    <row r="468" spans="1:7" ht="18" customHeight="1">
      <c r="A468" s="16"/>
      <c r="B468" s="25"/>
      <c r="C468" s="25"/>
      <c r="D468" s="25"/>
      <c r="E468" s="16"/>
      <c r="F468" s="16"/>
      <c r="G468" s="17"/>
    </row>
    <row r="469" spans="1:7" ht="18" customHeight="1">
      <c r="A469" s="16"/>
      <c r="B469" s="25"/>
      <c r="C469" s="25"/>
      <c r="D469" s="25"/>
      <c r="E469" s="16"/>
      <c r="F469" s="16"/>
      <c r="G469" s="17"/>
    </row>
    <row r="470" spans="1:7" ht="18" customHeight="1">
      <c r="A470" s="16"/>
      <c r="B470" s="25"/>
      <c r="C470" s="25"/>
      <c r="D470" s="25"/>
      <c r="E470" s="16"/>
      <c r="F470" s="16"/>
      <c r="G470" s="17"/>
    </row>
    <row r="471" spans="1:7" ht="18" customHeight="1">
      <c r="A471" s="16"/>
      <c r="B471" s="25"/>
      <c r="C471" s="25"/>
      <c r="D471" s="25"/>
      <c r="E471" s="16"/>
      <c r="F471" s="16"/>
      <c r="G471" s="17"/>
    </row>
    <row r="472" spans="1:7" ht="18" customHeight="1">
      <c r="A472" s="16"/>
      <c r="B472" s="25"/>
      <c r="C472" s="25"/>
      <c r="D472" s="25"/>
      <c r="E472" s="16"/>
      <c r="F472" s="16"/>
      <c r="G472" s="17"/>
    </row>
    <row r="473" spans="1:7" ht="18" customHeight="1">
      <c r="A473" s="16"/>
      <c r="B473" s="25"/>
      <c r="C473" s="25"/>
      <c r="D473" s="25"/>
      <c r="E473" s="16"/>
      <c r="F473" s="16"/>
      <c r="G473" s="17"/>
    </row>
    <row r="474" spans="1:7" ht="18" customHeight="1">
      <c r="A474" s="16"/>
      <c r="B474" s="25"/>
      <c r="C474" s="25"/>
      <c r="D474" s="25"/>
      <c r="E474" s="16"/>
      <c r="F474" s="16"/>
      <c r="G474" s="17"/>
    </row>
    <row r="475" spans="1:7" ht="18" customHeight="1">
      <c r="A475" s="16"/>
      <c r="B475" s="25"/>
      <c r="C475" s="25"/>
      <c r="D475" s="25"/>
      <c r="E475" s="16"/>
      <c r="F475" s="16"/>
      <c r="G475" s="17"/>
    </row>
    <row r="476" spans="1:7" ht="18" customHeight="1">
      <c r="A476" s="16"/>
      <c r="B476" s="25"/>
      <c r="C476" s="25"/>
      <c r="D476" s="25"/>
      <c r="E476" s="16"/>
      <c r="F476" s="16"/>
      <c r="G476" s="17"/>
    </row>
    <row r="477" spans="1:7" ht="18" customHeight="1">
      <c r="A477" s="16"/>
      <c r="B477" s="25"/>
      <c r="C477" s="25"/>
      <c r="D477" s="25"/>
      <c r="E477" s="16"/>
      <c r="F477" s="16"/>
      <c r="G477" s="17"/>
    </row>
    <row r="478" spans="1:7" ht="18" customHeight="1">
      <c r="A478" s="16"/>
      <c r="B478" s="25"/>
      <c r="C478" s="25"/>
      <c r="D478" s="25"/>
      <c r="E478" s="16"/>
      <c r="F478" s="16"/>
      <c r="G478" s="17"/>
    </row>
    <row r="479" spans="1:7" ht="18" customHeight="1">
      <c r="A479" s="16"/>
      <c r="B479" s="25"/>
      <c r="C479" s="25"/>
      <c r="D479" s="25"/>
      <c r="E479" s="16"/>
      <c r="F479" s="16"/>
      <c r="G479" s="17"/>
    </row>
    <row r="480" spans="1:7" ht="18" customHeight="1">
      <c r="A480" s="16"/>
      <c r="B480" s="25"/>
      <c r="C480" s="25"/>
      <c r="D480" s="25"/>
      <c r="E480" s="16"/>
      <c r="F480" s="16"/>
      <c r="G480" s="17"/>
    </row>
    <row r="481" spans="1:7" ht="18" customHeight="1">
      <c r="A481" s="16"/>
      <c r="B481" s="25"/>
      <c r="C481" s="25"/>
      <c r="D481" s="25"/>
      <c r="E481" s="16"/>
      <c r="F481" s="16"/>
      <c r="G481" s="17"/>
    </row>
    <row r="482" spans="1:7" ht="18" customHeight="1">
      <c r="A482" s="16"/>
      <c r="B482" s="25"/>
      <c r="C482" s="25"/>
      <c r="D482" s="25"/>
      <c r="E482" s="16"/>
      <c r="F482" s="16"/>
      <c r="G482" s="17"/>
    </row>
    <row r="483" spans="1:7" ht="18" customHeight="1">
      <c r="A483" s="16"/>
      <c r="B483" s="25"/>
      <c r="C483" s="25"/>
      <c r="D483" s="25"/>
      <c r="E483" s="16"/>
      <c r="F483" s="16"/>
      <c r="G483" s="17"/>
    </row>
    <row r="484" spans="1:7" ht="18" customHeight="1">
      <c r="A484" s="16"/>
      <c r="B484" s="25"/>
      <c r="C484" s="25"/>
      <c r="D484" s="25"/>
      <c r="E484" s="16"/>
      <c r="F484" s="16"/>
      <c r="G484" s="17"/>
    </row>
    <row r="485" spans="1:7" ht="18" customHeight="1">
      <c r="A485" s="16"/>
      <c r="B485" s="25"/>
      <c r="C485" s="25"/>
      <c r="D485" s="25"/>
      <c r="E485" s="16"/>
      <c r="F485" s="16"/>
      <c r="G485" s="17"/>
    </row>
    <row r="486" spans="1:7" ht="18" customHeight="1">
      <c r="A486" s="16"/>
      <c r="B486" s="25"/>
      <c r="C486" s="25"/>
      <c r="D486" s="25"/>
      <c r="E486" s="16"/>
      <c r="F486" s="16"/>
      <c r="G486" s="17"/>
    </row>
    <row r="487" spans="1:7" ht="18" customHeight="1">
      <c r="A487" s="16"/>
      <c r="B487" s="25"/>
      <c r="C487" s="25"/>
      <c r="D487" s="25"/>
      <c r="E487" s="16"/>
      <c r="F487" s="16"/>
      <c r="G487" s="17"/>
    </row>
    <row r="488" spans="1:7" ht="18" customHeight="1">
      <c r="A488" s="16"/>
      <c r="B488" s="25"/>
      <c r="C488" s="25"/>
      <c r="D488" s="25"/>
      <c r="E488" s="16"/>
      <c r="F488" s="16"/>
      <c r="G488" s="17"/>
    </row>
    <row r="489" spans="1:7" ht="18" customHeight="1">
      <c r="A489" s="16"/>
      <c r="B489" s="25"/>
      <c r="C489" s="25"/>
      <c r="D489" s="25"/>
      <c r="E489" s="16"/>
      <c r="F489" s="16"/>
      <c r="G489" s="17"/>
    </row>
    <row r="490" spans="1:7" ht="18" customHeight="1">
      <c r="A490" s="16"/>
      <c r="B490" s="25"/>
      <c r="C490" s="25"/>
      <c r="D490" s="25"/>
      <c r="E490" s="16"/>
      <c r="F490" s="16"/>
      <c r="G490" s="17"/>
    </row>
    <row r="491" spans="1:7" ht="18" customHeight="1">
      <c r="A491" s="16"/>
      <c r="B491" s="25"/>
      <c r="C491" s="25"/>
      <c r="D491" s="25"/>
      <c r="E491" s="16"/>
      <c r="F491" s="16"/>
      <c r="G491" s="17"/>
    </row>
    <row r="492" spans="1:7" ht="18" customHeight="1">
      <c r="A492" s="16"/>
      <c r="B492" s="25"/>
      <c r="C492" s="25"/>
      <c r="D492" s="25"/>
      <c r="E492" s="16"/>
      <c r="F492" s="16"/>
      <c r="G492" s="17"/>
    </row>
    <row r="493" spans="1:7" ht="18" customHeight="1">
      <c r="A493" s="16"/>
      <c r="B493" s="25"/>
      <c r="C493" s="25"/>
      <c r="D493" s="25"/>
      <c r="E493" s="16"/>
      <c r="F493" s="16"/>
      <c r="G493" s="17"/>
    </row>
    <row r="494" spans="1:7" ht="18" customHeight="1">
      <c r="A494" s="16"/>
      <c r="B494" s="25"/>
      <c r="C494" s="25"/>
      <c r="D494" s="25"/>
      <c r="E494" s="16"/>
      <c r="F494" s="16"/>
      <c r="G494" s="17"/>
    </row>
    <row r="495" spans="1:7" ht="18" customHeight="1">
      <c r="A495" s="16"/>
      <c r="B495" s="25"/>
      <c r="C495" s="25"/>
      <c r="D495" s="25"/>
      <c r="E495" s="16"/>
      <c r="F495" s="16"/>
      <c r="G495" s="17"/>
    </row>
    <row r="496" spans="1:7" ht="18" customHeight="1">
      <c r="A496" s="16"/>
      <c r="B496" s="25"/>
      <c r="C496" s="25"/>
      <c r="D496" s="25"/>
      <c r="E496" s="16"/>
      <c r="F496" s="16"/>
      <c r="G496" s="17"/>
    </row>
    <row r="497" spans="1:7" ht="18" customHeight="1">
      <c r="A497" s="16"/>
      <c r="B497" s="25"/>
      <c r="C497" s="25"/>
      <c r="D497" s="25"/>
      <c r="E497" s="16"/>
      <c r="F497" s="16"/>
      <c r="G497" s="17"/>
    </row>
    <row r="498" spans="1:7" ht="18" customHeight="1">
      <c r="A498" s="16"/>
      <c r="B498" s="25"/>
      <c r="C498" s="25"/>
      <c r="D498" s="25"/>
      <c r="E498" s="16"/>
      <c r="F498" s="16"/>
      <c r="G498" s="17"/>
    </row>
    <row r="499" spans="1:7" ht="18" customHeight="1">
      <c r="A499" s="16"/>
      <c r="B499" s="25"/>
      <c r="C499" s="25"/>
      <c r="D499" s="25"/>
      <c r="E499" s="16"/>
      <c r="F499" s="16"/>
      <c r="G499" s="17"/>
    </row>
    <row r="500" spans="1:7" ht="18" customHeight="1">
      <c r="A500" s="16"/>
      <c r="B500" s="25"/>
      <c r="C500" s="25"/>
      <c r="D500" s="25"/>
      <c r="E500" s="16"/>
      <c r="F500" s="16"/>
      <c r="G500" s="17"/>
    </row>
    <row r="501" spans="1:7" ht="18" customHeight="1">
      <c r="A501" s="16"/>
      <c r="B501" s="25"/>
      <c r="C501" s="25"/>
      <c r="D501" s="25"/>
      <c r="E501" s="16"/>
      <c r="F501" s="16"/>
      <c r="G501" s="17"/>
    </row>
    <row r="502" spans="1:7" ht="18" customHeight="1">
      <c r="A502" s="16"/>
      <c r="B502" s="25"/>
      <c r="C502" s="25"/>
      <c r="D502" s="25"/>
      <c r="E502" s="16"/>
      <c r="F502" s="16"/>
      <c r="G502" s="17"/>
    </row>
    <row r="503" spans="1:7" ht="18" customHeight="1">
      <c r="A503" s="16"/>
      <c r="B503" s="25"/>
      <c r="C503" s="25"/>
      <c r="D503" s="25"/>
      <c r="E503" s="16"/>
      <c r="F503" s="16"/>
      <c r="G503" s="17"/>
    </row>
    <row r="504" spans="1:7" ht="18" customHeight="1">
      <c r="A504" s="16"/>
      <c r="B504" s="25"/>
      <c r="C504" s="25"/>
      <c r="D504" s="25"/>
      <c r="E504" s="16"/>
      <c r="F504" s="16"/>
      <c r="G504" s="17"/>
    </row>
    <row r="505" spans="1:7" ht="18" customHeight="1">
      <c r="A505" s="16"/>
      <c r="B505" s="25"/>
      <c r="C505" s="25"/>
      <c r="D505" s="25"/>
      <c r="E505" s="16"/>
      <c r="F505" s="16"/>
      <c r="G505" s="17"/>
    </row>
    <row r="506" spans="1:7" ht="18" customHeight="1">
      <c r="A506" s="16"/>
      <c r="B506" s="25"/>
      <c r="C506" s="25"/>
      <c r="D506" s="25"/>
      <c r="E506" s="16"/>
      <c r="F506" s="16"/>
      <c r="G506" s="17"/>
    </row>
    <row r="507" spans="1:7" ht="18" customHeight="1">
      <c r="A507" s="16"/>
      <c r="B507" s="25"/>
      <c r="C507" s="25"/>
      <c r="D507" s="25"/>
      <c r="E507" s="16"/>
      <c r="F507" s="16"/>
      <c r="G507" s="17"/>
    </row>
    <row r="508" spans="1:7" ht="18" customHeight="1">
      <c r="A508" s="16"/>
      <c r="B508" s="25"/>
      <c r="C508" s="25"/>
      <c r="D508" s="25"/>
      <c r="E508" s="16"/>
      <c r="F508" s="16"/>
      <c r="G508" s="17"/>
    </row>
    <row r="509" spans="1:7" ht="18" customHeight="1">
      <c r="A509" s="16"/>
      <c r="B509" s="25"/>
      <c r="C509" s="25"/>
      <c r="D509" s="25"/>
      <c r="E509" s="16"/>
      <c r="F509" s="16"/>
      <c r="G509" s="17"/>
    </row>
    <row r="510" spans="1:7" ht="18" customHeight="1">
      <c r="A510" s="16"/>
      <c r="B510" s="25"/>
      <c r="C510" s="25"/>
      <c r="D510" s="25"/>
      <c r="E510" s="16"/>
      <c r="F510" s="16"/>
      <c r="G510" s="17"/>
    </row>
    <row r="511" spans="1:7" ht="18" customHeight="1">
      <c r="A511" s="16"/>
      <c r="B511" s="25"/>
      <c r="C511" s="25"/>
      <c r="D511" s="25"/>
      <c r="E511" s="16"/>
      <c r="F511" s="16"/>
      <c r="G511" s="17"/>
    </row>
    <row r="512" spans="1:7" ht="18" customHeight="1">
      <c r="A512" s="16"/>
      <c r="B512" s="25"/>
      <c r="C512" s="25"/>
      <c r="D512" s="25"/>
      <c r="E512" s="16"/>
      <c r="F512" s="16"/>
      <c r="G512" s="17"/>
    </row>
    <row r="513" spans="1:7" ht="18" customHeight="1">
      <c r="A513" s="16"/>
      <c r="B513" s="25"/>
      <c r="C513" s="25"/>
      <c r="D513" s="25"/>
      <c r="E513" s="16"/>
      <c r="F513" s="16"/>
      <c r="G513" s="17"/>
    </row>
    <row r="514" spans="1:7" ht="18" customHeight="1">
      <c r="A514" s="16"/>
      <c r="B514" s="25"/>
      <c r="C514" s="25"/>
      <c r="D514" s="25"/>
      <c r="E514" s="16"/>
      <c r="F514" s="16"/>
      <c r="G514" s="17"/>
    </row>
    <row r="515" spans="1:7" ht="18" customHeight="1">
      <c r="A515" s="16"/>
      <c r="B515" s="25"/>
      <c r="C515" s="25"/>
      <c r="D515" s="25"/>
      <c r="E515" s="16"/>
      <c r="F515" s="16"/>
      <c r="G515" s="17"/>
    </row>
    <row r="516" spans="1:7" ht="18" customHeight="1">
      <c r="A516" s="16"/>
      <c r="B516" s="25"/>
      <c r="C516" s="25"/>
      <c r="D516" s="25"/>
      <c r="E516" s="16"/>
      <c r="F516" s="16"/>
      <c r="G516" s="17"/>
    </row>
    <row r="517" spans="1:7" ht="18" customHeight="1">
      <c r="A517" s="16"/>
      <c r="B517" s="25"/>
      <c r="C517" s="25"/>
      <c r="D517" s="25"/>
      <c r="E517" s="16"/>
      <c r="F517" s="16"/>
      <c r="G517" s="17"/>
    </row>
    <row r="518" spans="1:7" ht="18" customHeight="1">
      <c r="A518" s="16"/>
      <c r="B518" s="25"/>
      <c r="C518" s="25"/>
      <c r="D518" s="25"/>
      <c r="E518" s="16"/>
      <c r="F518" s="16"/>
      <c r="G518" s="17"/>
    </row>
    <row r="519" spans="1:7" ht="18" customHeight="1">
      <c r="A519" s="16"/>
      <c r="B519" s="25"/>
      <c r="C519" s="25"/>
      <c r="D519" s="25"/>
      <c r="E519" s="16"/>
      <c r="F519" s="16"/>
      <c r="G519" s="17"/>
    </row>
    <row r="520" spans="1:7" ht="18" customHeight="1">
      <c r="A520" s="16"/>
      <c r="B520" s="25"/>
      <c r="C520" s="25"/>
      <c r="D520" s="25"/>
      <c r="E520" s="16"/>
      <c r="F520" s="16"/>
      <c r="G520" s="17"/>
    </row>
    <row r="521" spans="1:7" ht="18" customHeight="1">
      <c r="A521" s="16"/>
      <c r="B521" s="25"/>
      <c r="C521" s="25"/>
      <c r="D521" s="25"/>
      <c r="E521" s="16"/>
      <c r="F521" s="16"/>
      <c r="G521" s="17"/>
    </row>
    <row r="522" spans="1:7" ht="18" customHeight="1">
      <c r="A522" s="16"/>
      <c r="B522" s="25"/>
      <c r="C522" s="25"/>
      <c r="D522" s="25"/>
      <c r="E522" s="16"/>
      <c r="F522" s="16"/>
      <c r="G522" s="17"/>
    </row>
    <row r="523" spans="1:7" ht="18" customHeight="1">
      <c r="A523" s="16"/>
      <c r="B523" s="25"/>
      <c r="C523" s="25"/>
      <c r="D523" s="25"/>
      <c r="E523" s="16"/>
      <c r="F523" s="16"/>
      <c r="G523" s="17"/>
    </row>
    <row r="524" spans="1:7" ht="18" customHeight="1">
      <c r="A524" s="16"/>
      <c r="B524" s="25"/>
      <c r="C524" s="25"/>
      <c r="D524" s="25"/>
      <c r="E524" s="16"/>
      <c r="F524" s="16"/>
      <c r="G524" s="17"/>
    </row>
    <row r="525" spans="1:7" ht="18" customHeight="1">
      <c r="A525" s="16"/>
      <c r="B525" s="25"/>
      <c r="C525" s="25"/>
      <c r="D525" s="25"/>
      <c r="E525" s="16"/>
      <c r="F525" s="16"/>
      <c r="G525" s="17"/>
    </row>
    <row r="526" spans="1:7" ht="18" customHeight="1">
      <c r="A526" s="16"/>
      <c r="B526" s="25"/>
      <c r="C526" s="25"/>
      <c r="D526" s="25"/>
      <c r="E526" s="16"/>
      <c r="F526" s="16"/>
      <c r="G526" s="17"/>
    </row>
    <row r="527" spans="1:7" ht="18" customHeight="1">
      <c r="A527" s="16"/>
      <c r="B527" s="25"/>
      <c r="C527" s="25"/>
      <c r="D527" s="25"/>
      <c r="E527" s="16"/>
      <c r="F527" s="16"/>
      <c r="G527" s="17"/>
    </row>
    <row r="528" spans="1:7" ht="18" customHeight="1">
      <c r="A528" s="16"/>
      <c r="B528" s="25"/>
      <c r="C528" s="25"/>
      <c r="D528" s="25"/>
      <c r="E528" s="16"/>
      <c r="F528" s="16"/>
      <c r="G528" s="17"/>
    </row>
    <row r="529" spans="1:7" ht="18" customHeight="1">
      <c r="A529" s="16"/>
      <c r="B529" s="25"/>
      <c r="C529" s="25"/>
      <c r="D529" s="25"/>
      <c r="E529" s="16"/>
      <c r="F529" s="16"/>
      <c r="G529" s="17"/>
    </row>
    <row r="530" spans="1:7" ht="18" customHeight="1">
      <c r="A530" s="16"/>
      <c r="B530" s="25"/>
      <c r="C530" s="25"/>
      <c r="D530" s="25"/>
      <c r="E530" s="16"/>
      <c r="F530" s="16"/>
      <c r="G530" s="17"/>
    </row>
    <row r="531" spans="1:7" ht="18" customHeight="1">
      <c r="A531" s="16"/>
      <c r="B531" s="25"/>
      <c r="C531" s="25"/>
      <c r="D531" s="25"/>
      <c r="E531" s="16"/>
      <c r="F531" s="16"/>
      <c r="G531" s="17"/>
    </row>
    <row r="532" spans="1:7" ht="18" customHeight="1">
      <c r="A532" s="16"/>
      <c r="B532" s="25"/>
      <c r="C532" s="25"/>
      <c r="D532" s="25"/>
      <c r="E532" s="16"/>
      <c r="F532" s="16"/>
      <c r="G532" s="17"/>
    </row>
    <row r="533" spans="1:7" ht="18" customHeight="1">
      <c r="A533" s="16"/>
      <c r="B533" s="25"/>
      <c r="C533" s="25"/>
      <c r="D533" s="25"/>
      <c r="E533" s="16"/>
      <c r="F533" s="16"/>
      <c r="G533" s="17"/>
    </row>
    <row r="534" spans="1:7" ht="18" customHeight="1">
      <c r="A534" s="16"/>
      <c r="B534" s="25"/>
      <c r="C534" s="25"/>
      <c r="D534" s="25"/>
      <c r="E534" s="16"/>
      <c r="F534" s="16"/>
      <c r="G534" s="17"/>
    </row>
    <row r="535" spans="1:7" ht="18" customHeight="1">
      <c r="A535" s="16"/>
      <c r="B535" s="25"/>
      <c r="C535" s="25"/>
      <c r="D535" s="25"/>
      <c r="E535" s="16"/>
      <c r="F535" s="16"/>
      <c r="G535" s="17"/>
    </row>
    <row r="536" spans="1:7" ht="18" customHeight="1">
      <c r="A536" s="16"/>
      <c r="B536" s="25"/>
      <c r="C536" s="25"/>
      <c r="D536" s="25"/>
      <c r="E536" s="16"/>
      <c r="F536" s="16"/>
      <c r="G536" s="17"/>
    </row>
    <row r="537" spans="1:7" ht="18" customHeight="1">
      <c r="A537" s="16"/>
      <c r="B537" s="25"/>
      <c r="C537" s="25"/>
      <c r="D537" s="25"/>
      <c r="E537" s="16"/>
      <c r="F537" s="16"/>
      <c r="G537" s="17"/>
    </row>
    <row r="538" spans="1:7" ht="18" customHeight="1">
      <c r="A538" s="16"/>
      <c r="B538" s="25"/>
      <c r="C538" s="25"/>
      <c r="D538" s="25"/>
      <c r="E538" s="16"/>
      <c r="F538" s="16"/>
      <c r="G538" s="17"/>
    </row>
    <row r="539" spans="1:7" ht="18" customHeight="1">
      <c r="A539" s="16"/>
      <c r="B539" s="25"/>
      <c r="C539" s="25"/>
      <c r="D539" s="25"/>
      <c r="E539" s="16"/>
      <c r="F539" s="16"/>
      <c r="G539" s="17"/>
    </row>
    <row r="540" spans="1:7" ht="18" customHeight="1">
      <c r="A540" s="16"/>
      <c r="B540" s="25"/>
      <c r="C540" s="25"/>
      <c r="D540" s="25"/>
      <c r="E540" s="16"/>
      <c r="F540" s="16"/>
      <c r="G540" s="17"/>
    </row>
    <row r="541" spans="1:7" ht="18" customHeight="1">
      <c r="A541" s="16"/>
      <c r="B541" s="25"/>
      <c r="C541" s="25"/>
      <c r="D541" s="25"/>
      <c r="E541" s="16"/>
      <c r="F541" s="16"/>
      <c r="G541" s="17"/>
    </row>
    <row r="542" spans="1:7" ht="18" customHeight="1">
      <c r="A542" s="16"/>
      <c r="B542" s="25"/>
      <c r="C542" s="25"/>
      <c r="D542" s="25"/>
      <c r="E542" s="16"/>
      <c r="F542" s="16"/>
      <c r="G542" s="17"/>
    </row>
    <row r="543" spans="1:7" ht="18" customHeight="1">
      <c r="A543" s="16"/>
      <c r="B543" s="25"/>
      <c r="C543" s="25"/>
      <c r="D543" s="25"/>
      <c r="E543" s="16"/>
      <c r="F543" s="16"/>
      <c r="G543" s="17"/>
    </row>
    <row r="544" spans="1:7" ht="18" customHeight="1">
      <c r="A544" s="16"/>
      <c r="B544" s="25"/>
      <c r="C544" s="25"/>
      <c r="D544" s="25"/>
      <c r="E544" s="16"/>
      <c r="F544" s="16"/>
      <c r="G544" s="17"/>
    </row>
    <row r="545" spans="1:7" ht="18" customHeight="1">
      <c r="A545" s="16"/>
      <c r="B545" s="25"/>
      <c r="C545" s="25"/>
      <c r="D545" s="25"/>
      <c r="E545" s="16"/>
      <c r="F545" s="16"/>
      <c r="G545" s="17"/>
    </row>
    <row r="546" spans="1:7" ht="18" customHeight="1">
      <c r="A546" s="16"/>
      <c r="B546" s="25"/>
      <c r="C546" s="25"/>
      <c r="D546" s="25"/>
      <c r="E546" s="16"/>
      <c r="F546" s="16"/>
      <c r="G546" s="17"/>
    </row>
    <row r="547" spans="1:7" ht="18" customHeight="1">
      <c r="A547" s="16"/>
      <c r="B547" s="25"/>
      <c r="C547" s="25"/>
      <c r="D547" s="25"/>
      <c r="E547" s="16"/>
      <c r="F547" s="16"/>
      <c r="G547" s="17"/>
    </row>
    <row r="548" spans="1:7" ht="18" customHeight="1">
      <c r="A548" s="16"/>
      <c r="B548" s="25"/>
      <c r="C548" s="25"/>
      <c r="D548" s="25"/>
      <c r="E548" s="16"/>
      <c r="F548" s="16"/>
      <c r="G548" s="17"/>
    </row>
    <row r="549" spans="1:7" ht="18" customHeight="1">
      <c r="A549" s="16"/>
      <c r="B549" s="25"/>
      <c r="C549" s="25"/>
      <c r="D549" s="25"/>
      <c r="E549" s="16"/>
      <c r="F549" s="16"/>
      <c r="G549" s="17"/>
    </row>
    <row r="550" spans="1:7" ht="18" customHeight="1">
      <c r="A550" s="16"/>
      <c r="B550" s="25"/>
      <c r="C550" s="25"/>
      <c r="D550" s="25"/>
      <c r="E550" s="16"/>
      <c r="F550" s="16"/>
      <c r="G550" s="17"/>
    </row>
    <row r="551" spans="1:7" ht="18" customHeight="1">
      <c r="A551" s="16"/>
      <c r="B551" s="25"/>
      <c r="C551" s="25"/>
      <c r="D551" s="25"/>
      <c r="E551" s="16"/>
      <c r="F551" s="16"/>
      <c r="G551" s="17"/>
    </row>
    <row r="552" spans="1:7" ht="18" customHeight="1">
      <c r="A552" s="16"/>
      <c r="B552" s="25"/>
      <c r="C552" s="25"/>
      <c r="D552" s="25"/>
      <c r="E552" s="16"/>
      <c r="F552" s="16"/>
      <c r="G552" s="17"/>
    </row>
    <row r="553" spans="1:7" ht="18" customHeight="1">
      <c r="A553" s="16"/>
      <c r="B553" s="25"/>
      <c r="C553" s="25"/>
      <c r="D553" s="25"/>
      <c r="E553" s="16"/>
      <c r="F553" s="16"/>
      <c r="G553" s="17"/>
    </row>
    <row r="554" spans="1:7" ht="18" customHeight="1">
      <c r="A554" s="16"/>
      <c r="B554" s="25"/>
      <c r="C554" s="25"/>
      <c r="D554" s="25"/>
      <c r="E554" s="16"/>
      <c r="F554" s="16"/>
      <c r="G554" s="17"/>
    </row>
    <row r="555" spans="1:7" ht="18" customHeight="1">
      <c r="A555" s="16"/>
      <c r="B555" s="25"/>
      <c r="C555" s="25"/>
      <c r="D555" s="25"/>
      <c r="E555" s="16"/>
      <c r="F555" s="16"/>
      <c r="G555" s="17"/>
    </row>
    <row r="556" spans="1:7" ht="18" customHeight="1">
      <c r="A556" s="16"/>
      <c r="B556" s="25"/>
      <c r="C556" s="25"/>
      <c r="D556" s="25"/>
      <c r="E556" s="16"/>
      <c r="F556" s="16"/>
      <c r="G556" s="17"/>
    </row>
    <row r="557" spans="1:7" ht="18" customHeight="1">
      <c r="A557" s="16"/>
      <c r="B557" s="25"/>
      <c r="C557" s="25"/>
      <c r="D557" s="25"/>
      <c r="E557" s="16"/>
      <c r="F557" s="16"/>
      <c r="G557" s="17"/>
    </row>
    <row r="558" spans="1:7" ht="18" customHeight="1">
      <c r="A558" s="16"/>
      <c r="B558" s="25"/>
      <c r="C558" s="25"/>
      <c r="D558" s="25"/>
      <c r="E558" s="16"/>
      <c r="F558" s="16"/>
      <c r="G558" s="17"/>
    </row>
    <row r="559" spans="1:7" ht="18" customHeight="1">
      <c r="A559" s="16"/>
      <c r="B559" s="25"/>
      <c r="C559" s="25"/>
      <c r="D559" s="25"/>
      <c r="E559" s="16"/>
      <c r="F559" s="16"/>
      <c r="G559" s="17"/>
    </row>
    <row r="560" spans="1:7" ht="18" customHeight="1">
      <c r="A560" s="16"/>
      <c r="B560" s="25"/>
      <c r="C560" s="25"/>
      <c r="D560" s="25"/>
      <c r="E560" s="16"/>
      <c r="F560" s="16"/>
      <c r="G560" s="17"/>
    </row>
    <row r="561" spans="1:7" ht="18" customHeight="1">
      <c r="A561" s="16"/>
      <c r="B561" s="25"/>
      <c r="C561" s="25"/>
      <c r="D561" s="25"/>
      <c r="E561" s="16"/>
      <c r="F561" s="16"/>
      <c r="G561" s="17"/>
    </row>
    <row r="562" spans="1:7" ht="18" customHeight="1">
      <c r="A562" s="16"/>
      <c r="B562" s="25"/>
      <c r="C562" s="25"/>
      <c r="D562" s="25"/>
      <c r="E562" s="16"/>
      <c r="F562" s="16"/>
      <c r="G562" s="17"/>
    </row>
    <row r="563" spans="1:7" ht="18" customHeight="1">
      <c r="A563" s="16"/>
      <c r="B563" s="25"/>
      <c r="C563" s="25"/>
      <c r="D563" s="25"/>
      <c r="E563" s="16"/>
      <c r="F563" s="16"/>
      <c r="G563" s="17"/>
    </row>
    <row r="564" spans="1:7" ht="18" customHeight="1">
      <c r="A564" s="16"/>
      <c r="B564" s="25"/>
      <c r="C564" s="25"/>
      <c r="D564" s="25"/>
      <c r="E564" s="16"/>
      <c r="F564" s="16"/>
      <c r="G564" s="17"/>
    </row>
    <row r="565" spans="1:7" ht="18" customHeight="1">
      <c r="A565" s="16"/>
      <c r="B565" s="25"/>
      <c r="C565" s="25"/>
      <c r="D565" s="25"/>
      <c r="E565" s="16"/>
      <c r="F565" s="16"/>
      <c r="G565" s="17"/>
    </row>
    <row r="566" spans="1:7" ht="18" customHeight="1">
      <c r="A566" s="16"/>
      <c r="B566" s="25"/>
      <c r="C566" s="25"/>
      <c r="D566" s="25"/>
      <c r="E566" s="16"/>
      <c r="F566" s="16"/>
      <c r="G566" s="17"/>
    </row>
    <row r="567" spans="1:7" ht="18" customHeight="1">
      <c r="A567" s="16"/>
      <c r="B567" s="25"/>
      <c r="C567" s="25"/>
      <c r="D567" s="25"/>
      <c r="E567" s="16"/>
      <c r="F567" s="16"/>
      <c r="G567" s="17"/>
    </row>
    <row r="568" spans="1:7" ht="18" customHeight="1">
      <c r="A568" s="16"/>
      <c r="B568" s="25"/>
      <c r="C568" s="25"/>
      <c r="D568" s="25"/>
      <c r="E568" s="16"/>
      <c r="F568" s="16"/>
      <c r="G568" s="17"/>
    </row>
    <row r="569" spans="1:7" ht="18" customHeight="1">
      <c r="A569" s="16"/>
      <c r="B569" s="25"/>
      <c r="C569" s="25"/>
      <c r="D569" s="25"/>
      <c r="E569" s="16"/>
      <c r="F569" s="16"/>
      <c r="G569" s="17"/>
    </row>
    <row r="570" spans="1:7" ht="18" customHeight="1">
      <c r="A570" s="16"/>
      <c r="B570" s="25"/>
      <c r="C570" s="25"/>
      <c r="D570" s="25"/>
      <c r="E570" s="16"/>
      <c r="F570" s="16"/>
      <c r="G570" s="17"/>
    </row>
    <row r="571" spans="1:7" ht="18" customHeight="1">
      <c r="A571" s="16"/>
      <c r="B571" s="25"/>
      <c r="C571" s="25"/>
      <c r="D571" s="25"/>
      <c r="E571" s="16"/>
      <c r="F571" s="16"/>
      <c r="G571" s="17"/>
    </row>
    <row r="572" spans="1:7" ht="18" customHeight="1">
      <c r="A572" s="16"/>
      <c r="B572" s="25"/>
      <c r="C572" s="25"/>
      <c r="D572" s="25"/>
      <c r="E572" s="16"/>
      <c r="F572" s="16"/>
      <c r="G572" s="17"/>
    </row>
    <row r="573" spans="1:7" ht="18" customHeight="1">
      <c r="A573" s="16"/>
      <c r="B573" s="25"/>
      <c r="C573" s="25"/>
      <c r="D573" s="25"/>
      <c r="E573" s="16"/>
      <c r="F573" s="16"/>
      <c r="G573" s="17"/>
    </row>
    <row r="574" spans="1:7" ht="18" customHeight="1">
      <c r="A574" s="16"/>
      <c r="B574" s="25"/>
      <c r="C574" s="25"/>
      <c r="D574" s="25"/>
      <c r="E574" s="16"/>
      <c r="F574" s="16"/>
      <c r="G574" s="17"/>
    </row>
    <row r="575" spans="1:7" ht="18" customHeight="1">
      <c r="A575" s="16"/>
      <c r="B575" s="25"/>
      <c r="C575" s="25"/>
      <c r="D575" s="25"/>
      <c r="E575" s="16"/>
      <c r="F575" s="16"/>
      <c r="G575" s="17"/>
    </row>
    <row r="576" spans="1:7" ht="18" customHeight="1">
      <c r="A576" s="16"/>
      <c r="B576" s="25"/>
      <c r="C576" s="25"/>
      <c r="D576" s="25"/>
      <c r="E576" s="16"/>
      <c r="F576" s="16"/>
      <c r="G576" s="17"/>
    </row>
    <row r="577" spans="1:7" ht="18" customHeight="1">
      <c r="A577" s="16"/>
      <c r="B577" s="25"/>
      <c r="C577" s="25"/>
      <c r="D577" s="25"/>
      <c r="E577" s="16"/>
      <c r="F577" s="16"/>
      <c r="G577" s="17"/>
    </row>
    <row r="578" spans="1:7" ht="18" customHeight="1">
      <c r="A578" s="16"/>
      <c r="B578" s="25"/>
      <c r="C578" s="25"/>
      <c r="D578" s="25"/>
      <c r="E578" s="16"/>
      <c r="F578" s="16"/>
      <c r="G578" s="17"/>
    </row>
    <row r="579" spans="1:7" ht="18" customHeight="1">
      <c r="A579" s="16"/>
      <c r="B579" s="25"/>
      <c r="C579" s="25"/>
      <c r="D579" s="25"/>
      <c r="E579" s="16"/>
      <c r="F579" s="16"/>
      <c r="G579" s="17"/>
    </row>
    <row r="580" spans="1:7" ht="18" customHeight="1">
      <c r="A580" s="16"/>
      <c r="B580" s="25"/>
      <c r="C580" s="25"/>
      <c r="D580" s="25"/>
      <c r="E580" s="16"/>
      <c r="F580" s="16"/>
      <c r="G580" s="17"/>
    </row>
    <row r="581" spans="1:7" ht="18" customHeight="1">
      <c r="A581" s="16"/>
      <c r="B581" s="25"/>
      <c r="C581" s="25"/>
      <c r="D581" s="25"/>
      <c r="E581" s="16"/>
      <c r="F581" s="16"/>
      <c r="G581" s="17"/>
    </row>
    <row r="582" spans="1:7" ht="18" customHeight="1">
      <c r="A582" s="16"/>
      <c r="B582" s="25"/>
      <c r="C582" s="25"/>
      <c r="D582" s="25"/>
      <c r="E582" s="16"/>
      <c r="F582" s="16"/>
      <c r="G582" s="17"/>
    </row>
    <row r="583" spans="1:7" ht="18" customHeight="1">
      <c r="A583" s="16"/>
      <c r="B583" s="25"/>
      <c r="C583" s="25"/>
      <c r="D583" s="25"/>
      <c r="E583" s="16"/>
      <c r="F583" s="16"/>
      <c r="G583" s="17"/>
    </row>
    <row r="584" spans="1:7" ht="18" customHeight="1">
      <c r="A584" s="16"/>
      <c r="B584" s="25"/>
      <c r="C584" s="25"/>
      <c r="D584" s="25"/>
      <c r="E584" s="16"/>
      <c r="F584" s="16"/>
      <c r="G584" s="17"/>
    </row>
    <row r="585" spans="1:7" ht="18" customHeight="1">
      <c r="A585" s="16"/>
      <c r="B585" s="25"/>
      <c r="C585" s="25"/>
      <c r="D585" s="25"/>
      <c r="E585" s="16"/>
      <c r="F585" s="16"/>
      <c r="G585" s="17"/>
    </row>
    <row r="586" spans="1:7" ht="18" customHeight="1">
      <c r="A586" s="16"/>
      <c r="B586" s="25"/>
      <c r="C586" s="25"/>
      <c r="D586" s="25"/>
      <c r="E586" s="16"/>
      <c r="F586" s="16"/>
      <c r="G586" s="17"/>
    </row>
    <row r="587" spans="1:7" ht="18" customHeight="1">
      <c r="A587" s="16"/>
      <c r="B587" s="25"/>
      <c r="C587" s="25"/>
      <c r="D587" s="25"/>
      <c r="E587" s="16"/>
      <c r="F587" s="16"/>
      <c r="G587" s="17"/>
    </row>
    <row r="588" spans="1:7" ht="18" customHeight="1">
      <c r="A588" s="16"/>
      <c r="B588" s="25"/>
      <c r="C588" s="25"/>
      <c r="D588" s="25"/>
      <c r="E588" s="16"/>
      <c r="F588" s="16"/>
      <c r="G588" s="17"/>
    </row>
    <row r="589" spans="1:7" ht="18" customHeight="1">
      <c r="A589" s="16"/>
      <c r="B589" s="25"/>
      <c r="C589" s="25"/>
      <c r="D589" s="25"/>
      <c r="E589" s="16"/>
      <c r="F589" s="16"/>
      <c r="G589" s="17"/>
    </row>
    <row r="590" spans="1:7" ht="18" customHeight="1">
      <c r="A590" s="16"/>
      <c r="B590" s="25"/>
      <c r="C590" s="25"/>
      <c r="D590" s="25"/>
      <c r="E590" s="16"/>
      <c r="F590" s="16"/>
      <c r="G590" s="17"/>
    </row>
    <row r="591" spans="1:7" ht="18" customHeight="1">
      <c r="A591" s="16"/>
      <c r="B591" s="25"/>
      <c r="C591" s="25"/>
      <c r="D591" s="25"/>
      <c r="E591" s="16"/>
      <c r="F591" s="16"/>
      <c r="G591" s="17"/>
    </row>
    <row r="592" spans="1:7" ht="18" customHeight="1">
      <c r="A592" s="16"/>
      <c r="B592" s="25"/>
      <c r="C592" s="25"/>
      <c r="D592" s="25"/>
      <c r="E592" s="16"/>
      <c r="F592" s="16"/>
      <c r="G592" s="17"/>
    </row>
    <row r="593" spans="1:7" ht="18" customHeight="1">
      <c r="A593" s="16"/>
      <c r="B593" s="25"/>
      <c r="C593" s="25"/>
      <c r="D593" s="25"/>
      <c r="E593" s="16"/>
      <c r="F593" s="16"/>
      <c r="G593" s="17"/>
    </row>
    <row r="594" spans="1:7" ht="18" customHeight="1">
      <c r="A594" s="16"/>
      <c r="B594" s="25"/>
      <c r="C594" s="25"/>
      <c r="D594" s="25"/>
      <c r="E594" s="16"/>
      <c r="F594" s="16"/>
      <c r="G594" s="17"/>
    </row>
    <row r="595" spans="1:7" ht="18" customHeight="1">
      <c r="A595" s="16"/>
      <c r="B595" s="25"/>
      <c r="C595" s="25"/>
      <c r="D595" s="25"/>
      <c r="E595" s="16"/>
      <c r="F595" s="16"/>
      <c r="G595" s="17"/>
    </row>
    <row r="596" spans="1:7" ht="18" customHeight="1">
      <c r="A596" s="16"/>
      <c r="B596" s="25"/>
      <c r="C596" s="25"/>
      <c r="D596" s="25"/>
      <c r="E596" s="16"/>
      <c r="F596" s="16"/>
      <c r="G596" s="17"/>
    </row>
    <row r="597" spans="1:7" ht="18" customHeight="1">
      <c r="A597" s="16"/>
      <c r="B597" s="25"/>
      <c r="C597" s="25"/>
      <c r="D597" s="25"/>
      <c r="E597" s="16"/>
      <c r="F597" s="16"/>
      <c r="G597" s="17"/>
    </row>
    <row r="598" spans="1:7" ht="18" customHeight="1">
      <c r="A598" s="16"/>
      <c r="B598" s="25"/>
      <c r="C598" s="25"/>
      <c r="D598" s="25"/>
      <c r="E598" s="16"/>
      <c r="F598" s="16"/>
      <c r="G598" s="17"/>
    </row>
    <row r="599" spans="1:7" ht="18" customHeight="1">
      <c r="A599" s="16"/>
      <c r="B599" s="25"/>
      <c r="C599" s="25"/>
      <c r="D599" s="25"/>
      <c r="E599" s="16"/>
      <c r="F599" s="16"/>
      <c r="G599" s="17"/>
    </row>
    <row r="600" spans="1:7" ht="18" customHeight="1">
      <c r="A600" s="16"/>
      <c r="B600" s="25"/>
      <c r="C600" s="25"/>
      <c r="D600" s="25"/>
      <c r="E600" s="16"/>
      <c r="F600" s="16"/>
      <c r="G600" s="17"/>
    </row>
    <row r="601" spans="1:7" ht="18" customHeight="1">
      <c r="A601" s="16"/>
      <c r="B601" s="25"/>
      <c r="C601" s="25"/>
      <c r="D601" s="25"/>
      <c r="E601" s="16"/>
      <c r="F601" s="16"/>
      <c r="G601" s="17"/>
    </row>
    <row r="602" spans="1:7" ht="18" customHeight="1">
      <c r="A602" s="16"/>
      <c r="B602" s="25"/>
      <c r="C602" s="25"/>
      <c r="D602" s="25"/>
      <c r="E602" s="16"/>
      <c r="F602" s="16"/>
      <c r="G602" s="17"/>
    </row>
    <row r="603" spans="1:7" ht="18" customHeight="1">
      <c r="A603" s="16"/>
      <c r="B603" s="25"/>
      <c r="C603" s="25"/>
      <c r="D603" s="25"/>
      <c r="E603" s="16"/>
      <c r="F603" s="16"/>
      <c r="G603" s="17"/>
    </row>
    <row r="604" spans="1:7" ht="18" customHeight="1">
      <c r="A604" s="16"/>
      <c r="B604" s="25"/>
      <c r="C604" s="25"/>
      <c r="D604" s="25"/>
      <c r="E604" s="16"/>
      <c r="F604" s="16"/>
      <c r="G604" s="17"/>
    </row>
    <row r="605" spans="1:7" ht="18" customHeight="1">
      <c r="A605" s="16"/>
      <c r="B605" s="25"/>
      <c r="C605" s="25"/>
      <c r="D605" s="25"/>
      <c r="E605" s="16"/>
      <c r="F605" s="16"/>
      <c r="G605" s="17"/>
    </row>
    <row r="606" spans="1:7" ht="18" customHeight="1">
      <c r="A606" s="16"/>
      <c r="B606" s="25"/>
      <c r="C606" s="25"/>
      <c r="D606" s="25"/>
      <c r="E606" s="16"/>
      <c r="F606" s="16"/>
      <c r="G606" s="17"/>
    </row>
    <row r="607" spans="1:7" ht="18" customHeight="1">
      <c r="A607" s="16"/>
      <c r="B607" s="25"/>
      <c r="C607" s="25"/>
      <c r="D607" s="25"/>
      <c r="E607" s="16"/>
      <c r="F607" s="16"/>
      <c r="G607" s="17"/>
    </row>
    <row r="608" spans="1:7" ht="18" customHeight="1">
      <c r="A608" s="16"/>
      <c r="B608" s="25"/>
      <c r="C608" s="25"/>
      <c r="D608" s="25"/>
      <c r="E608" s="16"/>
      <c r="F608" s="16"/>
      <c r="G608" s="17"/>
    </row>
    <row r="609" spans="1:7" ht="18" customHeight="1">
      <c r="A609" s="16"/>
      <c r="B609" s="25"/>
      <c r="C609" s="25"/>
      <c r="D609" s="25"/>
      <c r="E609" s="16"/>
      <c r="F609" s="16"/>
      <c r="G609" s="17"/>
    </row>
    <row r="610" spans="1:7" ht="18" customHeight="1">
      <c r="A610" s="16"/>
      <c r="B610" s="25"/>
      <c r="C610" s="25"/>
      <c r="D610" s="25"/>
      <c r="E610" s="16"/>
      <c r="F610" s="16"/>
      <c r="G610" s="17"/>
    </row>
    <row r="611" spans="1:7" ht="18" customHeight="1">
      <c r="A611" s="16"/>
      <c r="B611" s="25"/>
      <c r="C611" s="25"/>
      <c r="D611" s="25"/>
      <c r="E611" s="16"/>
      <c r="F611" s="16"/>
      <c r="G611" s="17"/>
    </row>
    <row r="612" spans="1:7" ht="18" customHeight="1">
      <c r="A612" s="16"/>
      <c r="B612" s="25"/>
      <c r="C612" s="25"/>
      <c r="D612" s="25"/>
      <c r="E612" s="16"/>
      <c r="F612" s="16"/>
      <c r="G612" s="17"/>
    </row>
    <row r="613" spans="1:7" ht="18" customHeight="1">
      <c r="A613" s="16"/>
      <c r="B613" s="25"/>
      <c r="C613" s="25"/>
      <c r="D613" s="25"/>
      <c r="E613" s="16"/>
      <c r="F613" s="16"/>
      <c r="G613" s="17"/>
    </row>
    <row r="614" spans="1:7" ht="18" customHeight="1">
      <c r="A614" s="16"/>
      <c r="B614" s="25"/>
      <c r="C614" s="25"/>
      <c r="D614" s="25"/>
      <c r="E614" s="16"/>
      <c r="F614" s="16"/>
      <c r="G614" s="17"/>
    </row>
    <row r="615" spans="1:7" ht="18" customHeight="1">
      <c r="A615" s="16"/>
      <c r="B615" s="25"/>
      <c r="C615" s="25"/>
      <c r="D615" s="25"/>
      <c r="E615" s="16"/>
      <c r="F615" s="16"/>
      <c r="G615" s="17"/>
    </row>
    <row r="616" spans="1:7" ht="18" customHeight="1">
      <c r="A616" s="16"/>
      <c r="B616" s="25"/>
      <c r="C616" s="25"/>
      <c r="D616" s="25"/>
      <c r="E616" s="16"/>
      <c r="F616" s="16"/>
      <c r="G616" s="17"/>
    </row>
    <row r="617" spans="1:7" ht="18" customHeight="1">
      <c r="A617" s="16"/>
      <c r="B617" s="25"/>
      <c r="C617" s="25"/>
      <c r="D617" s="25"/>
      <c r="E617" s="16"/>
      <c r="F617" s="16"/>
      <c r="G617" s="17"/>
    </row>
    <row r="618" spans="1:7" ht="18" customHeight="1">
      <c r="A618" s="16"/>
      <c r="B618" s="25"/>
      <c r="C618" s="25"/>
      <c r="D618" s="25"/>
      <c r="E618" s="16"/>
      <c r="F618" s="16"/>
      <c r="G618" s="17"/>
    </row>
    <row r="619" spans="1:7" ht="18" customHeight="1">
      <c r="A619" s="16"/>
      <c r="B619" s="25"/>
      <c r="C619" s="25"/>
      <c r="D619" s="25"/>
      <c r="E619" s="16"/>
      <c r="F619" s="16"/>
      <c r="G619" s="17"/>
    </row>
    <row r="620" spans="1:7" ht="18" customHeight="1">
      <c r="A620" s="16"/>
      <c r="B620" s="25"/>
      <c r="C620" s="25"/>
      <c r="D620" s="25"/>
      <c r="E620" s="16"/>
      <c r="F620" s="16"/>
      <c r="G620" s="17"/>
    </row>
    <row r="621" spans="1:7" ht="18" customHeight="1">
      <c r="A621" s="16"/>
      <c r="B621" s="25"/>
      <c r="C621" s="25"/>
      <c r="D621" s="25"/>
      <c r="E621" s="16"/>
      <c r="F621" s="16"/>
      <c r="G621" s="17"/>
    </row>
    <row r="622" spans="1:7" ht="18" customHeight="1">
      <c r="A622" s="16"/>
      <c r="B622" s="25"/>
      <c r="C622" s="25"/>
      <c r="D622" s="25"/>
      <c r="E622" s="16"/>
      <c r="F622" s="16"/>
      <c r="G622" s="17"/>
    </row>
    <row r="623" spans="1:7" ht="18" customHeight="1">
      <c r="A623" s="16"/>
      <c r="B623" s="25"/>
      <c r="C623" s="25"/>
      <c r="D623" s="25"/>
      <c r="E623" s="16"/>
      <c r="F623" s="16"/>
      <c r="G623" s="17"/>
    </row>
    <row r="624" spans="1:7" ht="18" customHeight="1">
      <c r="A624" s="16"/>
      <c r="B624" s="25"/>
      <c r="C624" s="25"/>
      <c r="D624" s="25"/>
      <c r="E624" s="16"/>
      <c r="F624" s="16"/>
      <c r="G624" s="17"/>
    </row>
    <row r="625" spans="1:7" ht="18" customHeight="1">
      <c r="A625" s="16"/>
      <c r="B625" s="25"/>
      <c r="C625" s="25"/>
      <c r="D625" s="25"/>
      <c r="E625" s="16"/>
      <c r="F625" s="16"/>
      <c r="G625" s="17"/>
    </row>
    <row r="626" spans="1:7" ht="18" customHeight="1">
      <c r="A626" s="16"/>
      <c r="B626" s="25"/>
      <c r="C626" s="25"/>
      <c r="D626" s="25"/>
      <c r="E626" s="16"/>
      <c r="F626" s="16"/>
      <c r="G626" s="17"/>
    </row>
    <row r="627" spans="1:7" ht="18" customHeight="1">
      <c r="A627" s="16"/>
      <c r="B627" s="25"/>
      <c r="C627" s="25"/>
      <c r="D627" s="25"/>
      <c r="E627" s="16"/>
      <c r="F627" s="16"/>
      <c r="G627" s="17"/>
    </row>
    <row r="628" spans="1:7" ht="18" customHeight="1">
      <c r="A628" s="16"/>
      <c r="B628" s="25"/>
      <c r="C628" s="25"/>
      <c r="D628" s="25"/>
      <c r="E628" s="16"/>
      <c r="F628" s="16"/>
      <c r="G628" s="17"/>
    </row>
    <row r="629" spans="1:7" ht="18" customHeight="1">
      <c r="A629" s="16"/>
      <c r="B629" s="25"/>
      <c r="C629" s="25"/>
      <c r="D629" s="25"/>
      <c r="E629" s="16"/>
      <c r="F629" s="16"/>
      <c r="G629" s="17"/>
    </row>
    <row r="630" spans="1:7" ht="18" customHeight="1">
      <c r="A630" s="16"/>
      <c r="B630" s="25"/>
      <c r="C630" s="25"/>
      <c r="D630" s="25"/>
      <c r="E630" s="16"/>
      <c r="F630" s="16"/>
      <c r="G630" s="17"/>
    </row>
    <row r="631" spans="1:7" ht="18" customHeight="1">
      <c r="A631" s="16"/>
      <c r="B631" s="25"/>
      <c r="C631" s="25"/>
      <c r="D631" s="25"/>
      <c r="E631" s="16"/>
      <c r="F631" s="16"/>
      <c r="G631" s="17"/>
    </row>
    <row r="632" spans="1:7" ht="18" customHeight="1">
      <c r="A632" s="16"/>
      <c r="B632" s="25"/>
      <c r="C632" s="25"/>
      <c r="D632" s="25"/>
      <c r="E632" s="16"/>
      <c r="F632" s="16"/>
      <c r="G632" s="17"/>
    </row>
    <row r="633" spans="1:7" ht="18" customHeight="1">
      <c r="A633" s="16"/>
      <c r="B633" s="25"/>
      <c r="C633" s="25"/>
      <c r="D633" s="25"/>
      <c r="E633" s="16"/>
      <c r="F633" s="16"/>
      <c r="G633" s="17"/>
    </row>
    <row r="634" spans="1:7" ht="18" customHeight="1">
      <c r="A634" s="16"/>
      <c r="B634" s="25"/>
      <c r="C634" s="25"/>
      <c r="D634" s="25"/>
      <c r="E634" s="16"/>
      <c r="F634" s="16"/>
      <c r="G634" s="17"/>
    </row>
    <row r="635" spans="1:7" ht="18" customHeight="1">
      <c r="A635" s="16"/>
      <c r="B635" s="25"/>
      <c r="C635" s="25"/>
      <c r="D635" s="25"/>
      <c r="E635" s="16"/>
      <c r="F635" s="16"/>
      <c r="G635" s="17"/>
    </row>
    <row r="636" spans="1:7" ht="18" customHeight="1">
      <c r="A636" s="16"/>
      <c r="B636" s="25"/>
      <c r="C636" s="25"/>
      <c r="D636" s="25"/>
      <c r="E636" s="16"/>
      <c r="F636" s="16"/>
      <c r="G636" s="17"/>
    </row>
    <row r="637" spans="1:7" ht="18" customHeight="1">
      <c r="A637" s="16"/>
      <c r="B637" s="25"/>
      <c r="C637" s="25"/>
      <c r="D637" s="25"/>
      <c r="E637" s="16"/>
      <c r="F637" s="16"/>
      <c r="G637" s="17"/>
    </row>
    <row r="638" spans="1:7" ht="18" customHeight="1">
      <c r="A638" s="16"/>
      <c r="B638" s="25"/>
      <c r="C638" s="25"/>
      <c r="D638" s="25"/>
      <c r="E638" s="16"/>
      <c r="F638" s="16"/>
      <c r="G638" s="17"/>
    </row>
    <row r="639" spans="1:7" ht="18" customHeight="1">
      <c r="A639" s="16"/>
      <c r="B639" s="25"/>
      <c r="C639" s="25"/>
      <c r="D639" s="25"/>
      <c r="E639" s="16"/>
      <c r="F639" s="16"/>
      <c r="G639" s="17"/>
    </row>
    <row r="640" spans="1:7" ht="18" customHeight="1">
      <c r="A640" s="16"/>
      <c r="B640" s="25"/>
      <c r="C640" s="25"/>
      <c r="D640" s="25"/>
      <c r="E640" s="16"/>
      <c r="F640" s="16"/>
      <c r="G640" s="17"/>
    </row>
    <row r="641" spans="1:7" ht="18" customHeight="1">
      <c r="A641" s="16"/>
      <c r="B641" s="25"/>
      <c r="C641" s="25"/>
      <c r="D641" s="25"/>
      <c r="E641" s="16"/>
      <c r="F641" s="16"/>
      <c r="G641" s="17"/>
    </row>
    <row r="642" spans="1:7" ht="18" customHeight="1">
      <c r="A642" s="16"/>
      <c r="B642" s="25"/>
      <c r="C642" s="25"/>
      <c r="D642" s="25"/>
      <c r="E642" s="16"/>
      <c r="F642" s="16"/>
      <c r="G642" s="17"/>
    </row>
    <row r="643" spans="1:7" ht="18" customHeight="1">
      <c r="A643" s="16"/>
      <c r="B643" s="25"/>
      <c r="C643" s="25"/>
      <c r="D643" s="25"/>
      <c r="E643" s="16"/>
      <c r="F643" s="16"/>
      <c r="G643" s="17"/>
    </row>
    <row r="644" spans="1:7" ht="18" customHeight="1">
      <c r="A644" s="16"/>
      <c r="B644" s="25"/>
      <c r="C644" s="25"/>
      <c r="D644" s="25"/>
      <c r="E644" s="16"/>
      <c r="F644" s="16"/>
      <c r="G644" s="17"/>
    </row>
    <row r="645" spans="1:7" ht="18" customHeight="1">
      <c r="A645" s="16"/>
      <c r="B645" s="25"/>
      <c r="C645" s="25"/>
      <c r="D645" s="25"/>
      <c r="E645" s="16"/>
      <c r="F645" s="16"/>
      <c r="G645" s="17"/>
    </row>
    <row r="646" spans="1:7" ht="18" customHeight="1">
      <c r="A646" s="16"/>
      <c r="B646" s="25"/>
      <c r="C646" s="25"/>
      <c r="D646" s="25"/>
      <c r="E646" s="16"/>
      <c r="F646" s="16"/>
      <c r="G646" s="17"/>
    </row>
    <row r="647" spans="1:7" ht="18" customHeight="1">
      <c r="A647" s="16"/>
      <c r="B647" s="25"/>
      <c r="C647" s="25"/>
      <c r="D647" s="25"/>
      <c r="E647" s="16"/>
      <c r="F647" s="16"/>
      <c r="G647" s="17"/>
    </row>
    <row r="648" spans="1:7" ht="18" customHeight="1">
      <c r="A648" s="16"/>
      <c r="B648" s="25"/>
      <c r="C648" s="25"/>
      <c r="D648" s="25"/>
      <c r="E648" s="16"/>
      <c r="F648" s="16"/>
      <c r="G648" s="17"/>
    </row>
    <row r="649" spans="1:7" ht="18" customHeight="1">
      <c r="A649" s="16"/>
      <c r="B649" s="25"/>
      <c r="C649" s="25"/>
      <c r="D649" s="25"/>
      <c r="E649" s="16"/>
      <c r="F649" s="16"/>
      <c r="G649" s="17"/>
    </row>
    <row r="650" spans="1:7" ht="18" customHeight="1">
      <c r="A650" s="16"/>
      <c r="B650" s="25"/>
      <c r="C650" s="25"/>
      <c r="D650" s="25"/>
      <c r="E650" s="16"/>
      <c r="F650" s="16"/>
      <c r="G650" s="17"/>
    </row>
    <row r="651" spans="1:7" ht="18" customHeight="1">
      <c r="A651" s="16"/>
      <c r="B651" s="25"/>
      <c r="C651" s="25"/>
      <c r="D651" s="25"/>
      <c r="E651" s="16"/>
      <c r="F651" s="16"/>
      <c r="G651" s="17"/>
    </row>
    <row r="652" spans="1:7" ht="18" customHeight="1">
      <c r="A652" s="16"/>
      <c r="B652" s="25"/>
      <c r="C652" s="25"/>
      <c r="D652" s="25"/>
      <c r="E652" s="16"/>
      <c r="F652" s="16"/>
      <c r="G652" s="17"/>
    </row>
    <row r="653" spans="1:7" ht="18" customHeight="1">
      <c r="A653" s="16"/>
      <c r="B653" s="25"/>
      <c r="C653" s="25"/>
      <c r="D653" s="25"/>
      <c r="E653" s="16"/>
      <c r="F653" s="16"/>
      <c r="G653" s="17"/>
    </row>
    <row r="654" spans="1:7" ht="18" customHeight="1">
      <c r="A654" s="16"/>
      <c r="B654" s="25"/>
      <c r="C654" s="25"/>
      <c r="D654" s="25"/>
      <c r="E654" s="16"/>
      <c r="F654" s="16"/>
      <c r="G654" s="17"/>
    </row>
    <row r="655" spans="1:7" ht="18" customHeight="1">
      <c r="A655" s="16"/>
      <c r="B655" s="25"/>
      <c r="C655" s="25"/>
      <c r="D655" s="25"/>
      <c r="E655" s="16"/>
      <c r="F655" s="16"/>
      <c r="G655" s="17"/>
    </row>
    <row r="656" spans="1:7" ht="18" customHeight="1">
      <c r="A656" s="16"/>
      <c r="B656" s="25"/>
      <c r="C656" s="25"/>
      <c r="D656" s="25"/>
      <c r="E656" s="16"/>
      <c r="F656" s="16"/>
      <c r="G656" s="17"/>
    </row>
    <row r="657" spans="1:7" ht="18" customHeight="1">
      <c r="A657" s="16"/>
      <c r="B657" s="25"/>
      <c r="C657" s="25"/>
      <c r="D657" s="25"/>
      <c r="E657" s="16"/>
      <c r="F657" s="16"/>
      <c r="G657" s="17"/>
    </row>
    <row r="658" spans="1:7" ht="18" customHeight="1">
      <c r="A658" s="16"/>
      <c r="B658" s="25"/>
      <c r="C658" s="25"/>
      <c r="D658" s="25"/>
      <c r="E658" s="16"/>
      <c r="F658" s="16"/>
      <c r="G658" s="17"/>
    </row>
    <row r="659" spans="1:7" ht="18" customHeight="1">
      <c r="A659" s="16"/>
      <c r="B659" s="25"/>
      <c r="C659" s="25"/>
      <c r="D659" s="25"/>
      <c r="E659" s="16"/>
      <c r="F659" s="16"/>
      <c r="G659" s="17"/>
    </row>
    <row r="660" spans="1:7" ht="18" customHeight="1">
      <c r="A660" s="16"/>
      <c r="B660" s="25"/>
      <c r="C660" s="25"/>
      <c r="D660" s="25"/>
      <c r="E660" s="16"/>
      <c r="F660" s="16"/>
      <c r="G660" s="17"/>
    </row>
    <row r="661" spans="1:7" ht="18" customHeight="1">
      <c r="A661" s="16"/>
      <c r="B661" s="25"/>
      <c r="C661" s="25"/>
      <c r="D661" s="25"/>
      <c r="E661" s="16"/>
      <c r="F661" s="16"/>
      <c r="G661" s="17"/>
    </row>
    <row r="662" spans="1:7" ht="18" customHeight="1">
      <c r="A662" s="16"/>
      <c r="B662" s="25"/>
      <c r="C662" s="25"/>
      <c r="D662" s="25"/>
      <c r="E662" s="16"/>
      <c r="F662" s="16"/>
      <c r="G662" s="17"/>
    </row>
    <row r="663" spans="1:7" ht="18" customHeight="1">
      <c r="A663" s="16"/>
      <c r="B663" s="25"/>
      <c r="C663" s="25"/>
      <c r="D663" s="25"/>
      <c r="E663" s="16"/>
      <c r="F663" s="16"/>
      <c r="G663" s="17"/>
    </row>
    <row r="664" spans="1:7" ht="18" customHeight="1">
      <c r="A664" s="16"/>
      <c r="B664" s="25"/>
      <c r="C664" s="25"/>
      <c r="D664" s="25"/>
      <c r="E664" s="16"/>
      <c r="F664" s="16"/>
      <c r="G664" s="17"/>
    </row>
    <row r="665" spans="1:7" ht="18" customHeight="1">
      <c r="A665" s="16"/>
      <c r="B665" s="25"/>
      <c r="C665" s="25"/>
      <c r="D665" s="25"/>
      <c r="E665" s="16"/>
      <c r="F665" s="16"/>
      <c r="G665" s="17"/>
    </row>
    <row r="666" spans="1:7" ht="18" customHeight="1">
      <c r="A666" s="16"/>
      <c r="B666" s="25"/>
      <c r="C666" s="25"/>
      <c r="D666" s="25"/>
      <c r="E666" s="16"/>
      <c r="F666" s="16"/>
      <c r="G666" s="17"/>
    </row>
    <row r="667" spans="1:7" ht="18" customHeight="1">
      <c r="A667" s="16"/>
      <c r="B667" s="25"/>
      <c r="C667" s="25"/>
      <c r="D667" s="25"/>
      <c r="E667" s="16"/>
      <c r="F667" s="16"/>
      <c r="G667" s="17"/>
    </row>
    <row r="668" spans="1:7" ht="18" customHeight="1">
      <c r="A668" s="16"/>
      <c r="B668" s="25"/>
      <c r="C668" s="25"/>
      <c r="D668" s="25"/>
      <c r="E668" s="16"/>
      <c r="F668" s="16"/>
      <c r="G668" s="17"/>
    </row>
    <row r="669" spans="1:7" ht="18" customHeight="1">
      <c r="A669" s="16"/>
      <c r="B669" s="25"/>
      <c r="C669" s="25"/>
      <c r="D669" s="25"/>
      <c r="E669" s="16"/>
      <c r="F669" s="16"/>
      <c r="G669" s="17"/>
    </row>
    <row r="670" spans="1:7" ht="18" customHeight="1">
      <c r="A670" s="16"/>
      <c r="B670" s="25"/>
      <c r="C670" s="25"/>
      <c r="D670" s="25"/>
      <c r="E670" s="16"/>
      <c r="F670" s="16"/>
      <c r="G670" s="17"/>
    </row>
    <row r="671" spans="1:7" ht="18" customHeight="1">
      <c r="A671" s="16"/>
      <c r="B671" s="25"/>
      <c r="C671" s="25"/>
      <c r="D671" s="25"/>
      <c r="E671" s="16"/>
      <c r="F671" s="16"/>
      <c r="G671" s="17"/>
    </row>
    <row r="672" spans="1:7" ht="18" customHeight="1">
      <c r="A672" s="16"/>
      <c r="B672" s="25"/>
      <c r="C672" s="25"/>
      <c r="D672" s="25"/>
      <c r="E672" s="16"/>
      <c r="F672" s="16"/>
      <c r="G672" s="17"/>
    </row>
    <row r="673" spans="1:7" ht="18" customHeight="1">
      <c r="A673" s="16"/>
      <c r="B673" s="25"/>
      <c r="C673" s="25"/>
      <c r="D673" s="25"/>
      <c r="E673" s="16"/>
      <c r="F673" s="16"/>
      <c r="G673" s="17"/>
    </row>
    <row r="674" spans="1:7" ht="18" customHeight="1">
      <c r="A674" s="16"/>
      <c r="B674" s="25"/>
      <c r="C674" s="25"/>
      <c r="D674" s="25"/>
      <c r="E674" s="16"/>
      <c r="F674" s="16"/>
      <c r="G674" s="17"/>
    </row>
    <row r="675" spans="1:7" ht="18" customHeight="1">
      <c r="A675" s="16"/>
      <c r="B675" s="25"/>
      <c r="C675" s="25"/>
      <c r="D675" s="25"/>
      <c r="E675" s="16"/>
      <c r="F675" s="16"/>
      <c r="G675" s="17"/>
    </row>
    <row r="676" spans="1:7" ht="18" customHeight="1">
      <c r="A676" s="16"/>
      <c r="B676" s="25"/>
      <c r="C676" s="25"/>
      <c r="D676" s="25"/>
      <c r="E676" s="16"/>
      <c r="F676" s="16"/>
      <c r="G676" s="17"/>
    </row>
    <row r="677" spans="1:7" ht="18" customHeight="1">
      <c r="A677" s="16"/>
      <c r="B677" s="25"/>
      <c r="C677" s="25"/>
      <c r="D677" s="25"/>
      <c r="E677" s="16"/>
      <c r="F677" s="16"/>
      <c r="G677" s="17"/>
    </row>
    <row r="678" spans="1:7" ht="18" customHeight="1">
      <c r="A678" s="16"/>
      <c r="B678" s="25"/>
      <c r="C678" s="25"/>
      <c r="D678" s="25"/>
      <c r="E678" s="16"/>
      <c r="F678" s="16"/>
      <c r="G678" s="17"/>
    </row>
    <row r="679" spans="1:7" ht="18" customHeight="1">
      <c r="A679" s="16"/>
      <c r="B679" s="25"/>
      <c r="C679" s="25"/>
      <c r="D679" s="25"/>
      <c r="E679" s="16"/>
      <c r="F679" s="16"/>
      <c r="G679" s="17"/>
    </row>
    <row r="680" spans="1:7" ht="18" customHeight="1">
      <c r="A680" s="16"/>
      <c r="B680" s="25"/>
      <c r="C680" s="25"/>
      <c r="D680" s="25"/>
      <c r="E680" s="16"/>
      <c r="F680" s="16"/>
      <c r="G680" s="17"/>
    </row>
    <row r="681" spans="1:7" ht="18" customHeight="1">
      <c r="A681" s="16"/>
      <c r="B681" s="25"/>
      <c r="C681" s="25"/>
      <c r="D681" s="25"/>
      <c r="E681" s="16"/>
      <c r="F681" s="16"/>
      <c r="G681" s="17"/>
    </row>
    <row r="682" spans="1:7" ht="18" customHeight="1">
      <c r="A682" s="16"/>
      <c r="B682" s="25"/>
      <c r="C682" s="25"/>
      <c r="D682" s="25"/>
      <c r="E682" s="16"/>
      <c r="F682" s="16"/>
      <c r="G682" s="17"/>
    </row>
    <row r="683" spans="1:7" ht="18" customHeight="1">
      <c r="A683" s="16"/>
      <c r="B683" s="25"/>
      <c r="C683" s="25"/>
      <c r="D683" s="25"/>
      <c r="E683" s="16"/>
      <c r="F683" s="16"/>
      <c r="G683" s="17"/>
    </row>
    <row r="684" spans="1:7" ht="18" customHeight="1">
      <c r="A684" s="16"/>
      <c r="B684" s="25"/>
      <c r="C684" s="25"/>
      <c r="D684" s="25"/>
      <c r="E684" s="16"/>
      <c r="F684" s="16"/>
      <c r="G684" s="17"/>
    </row>
    <row r="685" spans="1:7" ht="18" customHeight="1">
      <c r="A685" s="16"/>
      <c r="B685" s="25"/>
      <c r="C685" s="25"/>
      <c r="D685" s="25"/>
      <c r="E685" s="16"/>
      <c r="F685" s="16"/>
      <c r="G685" s="17"/>
    </row>
    <row r="686" spans="1:7" ht="18" customHeight="1">
      <c r="A686" s="16"/>
      <c r="B686" s="25"/>
      <c r="C686" s="25"/>
      <c r="D686" s="25"/>
      <c r="E686" s="16"/>
      <c r="F686" s="16"/>
      <c r="G686" s="17"/>
    </row>
    <row r="687" spans="1:7" ht="18" customHeight="1">
      <c r="A687" s="16"/>
      <c r="B687" s="25"/>
      <c r="C687" s="25"/>
      <c r="D687" s="25"/>
      <c r="E687" s="16"/>
      <c r="F687" s="16"/>
      <c r="G687" s="17"/>
    </row>
    <row r="688" spans="1:7" ht="18" customHeight="1">
      <c r="A688" s="16"/>
      <c r="B688" s="25"/>
      <c r="C688" s="25"/>
      <c r="D688" s="25"/>
      <c r="E688" s="16"/>
      <c r="F688" s="16"/>
      <c r="G688" s="17"/>
    </row>
    <row r="689" spans="1:7" ht="18" customHeight="1">
      <c r="A689" s="16"/>
      <c r="B689" s="25"/>
      <c r="C689" s="25"/>
      <c r="D689" s="25"/>
      <c r="E689" s="16"/>
      <c r="F689" s="16"/>
      <c r="G689" s="17"/>
    </row>
    <row r="690" spans="1:7" ht="18" customHeight="1">
      <c r="A690" s="16"/>
      <c r="B690" s="25"/>
      <c r="C690" s="25"/>
      <c r="D690" s="25"/>
      <c r="E690" s="16"/>
      <c r="F690" s="16"/>
      <c r="G690" s="17"/>
    </row>
    <row r="691" spans="1:7" ht="18" customHeight="1">
      <c r="A691" s="16"/>
      <c r="B691" s="25"/>
      <c r="C691" s="25"/>
      <c r="D691" s="25"/>
      <c r="E691" s="16"/>
      <c r="F691" s="16"/>
      <c r="G691" s="17"/>
    </row>
    <row r="692" spans="1:7" ht="18" customHeight="1">
      <c r="A692" s="16"/>
      <c r="B692" s="25"/>
      <c r="C692" s="25"/>
      <c r="D692" s="25"/>
      <c r="E692" s="16"/>
      <c r="F692" s="16"/>
      <c r="G692" s="17"/>
    </row>
    <row r="693" spans="1:7" ht="18" customHeight="1">
      <c r="A693" s="16"/>
      <c r="B693" s="25"/>
      <c r="C693" s="25"/>
      <c r="D693" s="25"/>
      <c r="E693" s="16"/>
      <c r="F693" s="16"/>
      <c r="G693" s="17"/>
    </row>
    <row r="694" spans="1:7" ht="18" customHeight="1">
      <c r="A694" s="16"/>
      <c r="B694" s="25"/>
      <c r="C694" s="25"/>
      <c r="D694" s="25"/>
      <c r="E694" s="16"/>
      <c r="F694" s="16"/>
      <c r="G694" s="17"/>
    </row>
    <row r="695" spans="1:7" ht="18" customHeight="1">
      <c r="A695" s="16"/>
      <c r="B695" s="25"/>
      <c r="C695" s="25"/>
      <c r="D695" s="25"/>
      <c r="E695" s="16"/>
      <c r="F695" s="16"/>
      <c r="G695" s="17"/>
    </row>
    <row r="696" spans="1:7" ht="18" customHeight="1">
      <c r="A696" s="16"/>
      <c r="B696" s="25"/>
      <c r="C696" s="25"/>
      <c r="D696" s="25"/>
      <c r="E696" s="16"/>
      <c r="F696" s="16"/>
      <c r="G696" s="17"/>
    </row>
    <row r="697" spans="1:7" ht="18" customHeight="1">
      <c r="A697" s="16"/>
      <c r="B697" s="25"/>
      <c r="C697" s="25"/>
      <c r="D697" s="25"/>
      <c r="E697" s="16"/>
      <c r="F697" s="16"/>
      <c r="G697" s="17"/>
    </row>
    <row r="698" spans="1:7" ht="18" customHeight="1">
      <c r="A698" s="16"/>
      <c r="B698" s="25"/>
      <c r="C698" s="25"/>
      <c r="D698" s="25"/>
      <c r="E698" s="16"/>
      <c r="F698" s="16"/>
      <c r="G698" s="17"/>
    </row>
    <row r="699" spans="1:7" ht="18" customHeight="1">
      <c r="A699" s="16"/>
      <c r="B699" s="25"/>
      <c r="C699" s="25"/>
      <c r="D699" s="25"/>
      <c r="E699" s="16"/>
      <c r="F699" s="16"/>
      <c r="G699" s="17"/>
    </row>
    <row r="700" spans="1:7" ht="18" customHeight="1">
      <c r="A700" s="16"/>
      <c r="B700" s="25"/>
      <c r="C700" s="25"/>
      <c r="D700" s="25"/>
      <c r="E700" s="16"/>
      <c r="F700" s="16"/>
      <c r="G700" s="17"/>
    </row>
    <row r="701" spans="1:7" ht="18" customHeight="1">
      <c r="A701" s="16"/>
      <c r="B701" s="25"/>
      <c r="C701" s="25"/>
      <c r="D701" s="25"/>
      <c r="E701" s="16"/>
      <c r="F701" s="16"/>
      <c r="G701" s="17"/>
    </row>
    <row r="702" spans="1:7" ht="18" customHeight="1">
      <c r="A702" s="16"/>
      <c r="B702" s="25"/>
      <c r="C702" s="25"/>
      <c r="D702" s="25"/>
      <c r="E702" s="16"/>
      <c r="F702" s="16"/>
      <c r="G702" s="17"/>
    </row>
    <row r="703" spans="1:7" ht="18" customHeight="1">
      <c r="A703" s="16"/>
      <c r="B703" s="25"/>
      <c r="C703" s="25"/>
      <c r="D703" s="25"/>
      <c r="E703" s="16"/>
      <c r="F703" s="16"/>
      <c r="G703" s="17"/>
    </row>
    <row r="704" spans="1:7" ht="18" customHeight="1">
      <c r="A704" s="16"/>
      <c r="B704" s="25"/>
      <c r="C704" s="25"/>
      <c r="D704" s="25"/>
      <c r="E704" s="16"/>
      <c r="F704" s="16"/>
      <c r="G704" s="17"/>
    </row>
    <row r="705" spans="1:7" ht="18" customHeight="1">
      <c r="A705" s="16"/>
      <c r="B705" s="25"/>
      <c r="C705" s="25"/>
      <c r="D705" s="25"/>
      <c r="E705" s="16"/>
      <c r="F705" s="16"/>
      <c r="G705" s="17"/>
    </row>
    <row r="706" spans="1:7" ht="18" customHeight="1">
      <c r="A706" s="16"/>
      <c r="B706" s="25"/>
      <c r="C706" s="25"/>
      <c r="D706" s="25"/>
      <c r="E706" s="16"/>
      <c r="F706" s="16"/>
      <c r="G706" s="17"/>
    </row>
    <row r="707" spans="1:7" ht="18" customHeight="1">
      <c r="A707" s="16"/>
      <c r="B707" s="25"/>
      <c r="C707" s="25"/>
      <c r="D707" s="25"/>
      <c r="E707" s="16"/>
      <c r="F707" s="16"/>
      <c r="G707" s="17"/>
    </row>
    <row r="708" spans="1:7" ht="18" customHeight="1">
      <c r="A708" s="16"/>
      <c r="B708" s="25"/>
      <c r="C708" s="25"/>
      <c r="D708" s="25"/>
      <c r="E708" s="16"/>
      <c r="F708" s="16"/>
      <c r="G708" s="17"/>
    </row>
    <row r="709" spans="1:7" ht="18" customHeight="1">
      <c r="A709" s="16"/>
      <c r="B709" s="25"/>
      <c r="C709" s="25"/>
      <c r="D709" s="25"/>
      <c r="E709" s="16"/>
      <c r="F709" s="16"/>
      <c r="G709" s="17"/>
    </row>
    <row r="710" spans="1:7" ht="18" customHeight="1">
      <c r="A710" s="16"/>
      <c r="B710" s="25"/>
      <c r="C710" s="25"/>
      <c r="D710" s="25"/>
      <c r="E710" s="16"/>
      <c r="F710" s="16"/>
      <c r="G710" s="17"/>
    </row>
    <row r="711" spans="1:7" ht="18" customHeight="1">
      <c r="A711" s="16"/>
      <c r="B711" s="25"/>
      <c r="C711" s="25"/>
      <c r="D711" s="25"/>
      <c r="E711" s="16"/>
      <c r="F711" s="16"/>
      <c r="G711" s="17"/>
    </row>
    <row r="712" spans="1:7" ht="18" customHeight="1">
      <c r="A712" s="16"/>
      <c r="B712" s="25"/>
      <c r="C712" s="25"/>
      <c r="D712" s="25"/>
      <c r="E712" s="16"/>
      <c r="F712" s="16"/>
      <c r="G712" s="17"/>
    </row>
    <row r="713" spans="1:7" ht="18" customHeight="1">
      <c r="A713" s="16"/>
      <c r="B713" s="25"/>
      <c r="C713" s="25"/>
      <c r="D713" s="25"/>
      <c r="E713" s="16"/>
      <c r="F713" s="16"/>
      <c r="G713" s="17"/>
    </row>
    <row r="714" spans="1:7" ht="18" customHeight="1">
      <c r="A714" s="16"/>
      <c r="B714" s="25"/>
      <c r="C714" s="25"/>
      <c r="D714" s="25"/>
      <c r="E714" s="16"/>
      <c r="F714" s="16"/>
      <c r="G714" s="17"/>
    </row>
    <row r="715" spans="1:7" ht="18" customHeight="1">
      <c r="A715" s="16"/>
      <c r="B715" s="25"/>
      <c r="C715" s="25"/>
      <c r="D715" s="25"/>
      <c r="E715" s="16"/>
      <c r="F715" s="16"/>
      <c r="G715" s="17"/>
    </row>
    <row r="716" spans="1:7" ht="18" customHeight="1">
      <c r="A716" s="16"/>
      <c r="B716" s="25"/>
      <c r="C716" s="25"/>
      <c r="D716" s="25"/>
      <c r="E716" s="16"/>
      <c r="F716" s="16"/>
      <c r="G716" s="17"/>
    </row>
    <row r="717" spans="1:7" ht="18" customHeight="1">
      <c r="A717" s="16"/>
      <c r="B717" s="25"/>
      <c r="C717" s="25"/>
      <c r="D717" s="25"/>
      <c r="E717" s="16"/>
      <c r="F717" s="16"/>
      <c r="G717" s="17"/>
    </row>
    <row r="718" spans="1:7" ht="18" customHeight="1">
      <c r="A718" s="16"/>
      <c r="B718" s="25"/>
      <c r="C718" s="25"/>
      <c r="D718" s="25"/>
      <c r="E718" s="16"/>
      <c r="F718" s="16"/>
      <c r="G718" s="17"/>
    </row>
    <row r="719" spans="1:7" ht="18" customHeight="1">
      <c r="A719" s="16"/>
      <c r="B719" s="25"/>
      <c r="C719" s="25"/>
      <c r="D719" s="25"/>
      <c r="E719" s="16"/>
      <c r="F719" s="16"/>
      <c r="G719" s="17"/>
    </row>
    <row r="720" spans="1:7" ht="18" customHeight="1">
      <c r="A720" s="16"/>
      <c r="B720" s="25"/>
      <c r="C720" s="25"/>
      <c r="D720" s="25"/>
      <c r="E720" s="16"/>
      <c r="F720" s="16"/>
      <c r="G720" s="17"/>
    </row>
    <row r="721" spans="1:7" ht="18" customHeight="1">
      <c r="A721" s="16"/>
      <c r="B721" s="25"/>
      <c r="C721" s="25"/>
      <c r="D721" s="25"/>
      <c r="E721" s="16"/>
      <c r="F721" s="16"/>
      <c r="G721" s="17"/>
    </row>
    <row r="722" spans="1:7" ht="18" customHeight="1">
      <c r="A722" s="16"/>
      <c r="B722" s="25"/>
      <c r="C722" s="25"/>
      <c r="D722" s="25"/>
      <c r="E722" s="16"/>
      <c r="F722" s="16"/>
      <c r="G722" s="17"/>
    </row>
    <row r="723" spans="1:7" ht="18" customHeight="1">
      <c r="A723" s="16"/>
      <c r="B723" s="25"/>
      <c r="C723" s="25"/>
      <c r="D723" s="25"/>
      <c r="E723" s="16"/>
      <c r="F723" s="16"/>
      <c r="G723" s="17"/>
    </row>
    <row r="724" spans="1:7" ht="18" customHeight="1">
      <c r="A724" s="16"/>
      <c r="B724" s="25"/>
      <c r="C724" s="25"/>
      <c r="D724" s="25"/>
      <c r="E724" s="16"/>
      <c r="F724" s="16"/>
      <c r="G724" s="17"/>
    </row>
    <row r="725" spans="1:7" ht="18" customHeight="1">
      <c r="A725" s="16"/>
      <c r="B725" s="25"/>
      <c r="C725" s="25"/>
      <c r="D725" s="25"/>
      <c r="E725" s="16"/>
      <c r="F725" s="16"/>
      <c r="G725" s="17"/>
    </row>
    <row r="726" spans="1:7" ht="18" customHeight="1">
      <c r="A726" s="16"/>
      <c r="B726" s="25"/>
      <c r="C726" s="25"/>
      <c r="D726" s="25"/>
      <c r="E726" s="16"/>
      <c r="F726" s="16"/>
      <c r="G726" s="17"/>
    </row>
    <row r="727" spans="1:7" ht="18" customHeight="1">
      <c r="A727" s="16"/>
      <c r="B727" s="25"/>
      <c r="C727" s="25"/>
      <c r="D727" s="25"/>
      <c r="E727" s="16"/>
      <c r="F727" s="16"/>
      <c r="G727" s="17"/>
    </row>
    <row r="728" spans="1:7" ht="18" customHeight="1">
      <c r="A728" s="16"/>
      <c r="B728" s="25"/>
      <c r="C728" s="25"/>
      <c r="D728" s="25"/>
      <c r="E728" s="16"/>
      <c r="F728" s="16"/>
      <c r="G728" s="17"/>
    </row>
    <row r="729" spans="1:7" ht="18" customHeight="1">
      <c r="A729" s="16"/>
      <c r="B729" s="25"/>
      <c r="C729" s="25"/>
      <c r="D729" s="25"/>
      <c r="E729" s="16"/>
      <c r="F729" s="16"/>
      <c r="G729" s="17"/>
    </row>
    <row r="730" spans="1:7" ht="18" customHeight="1">
      <c r="A730" s="16"/>
      <c r="B730" s="25"/>
      <c r="C730" s="25"/>
      <c r="D730" s="25"/>
      <c r="E730" s="16"/>
      <c r="F730" s="16"/>
      <c r="G730" s="17"/>
    </row>
    <row r="731" spans="1:7" ht="18" customHeight="1">
      <c r="A731" s="16"/>
      <c r="B731" s="25"/>
      <c r="C731" s="25"/>
      <c r="D731" s="25"/>
      <c r="E731" s="16"/>
      <c r="F731" s="16"/>
      <c r="G731" s="17"/>
    </row>
    <row r="732" spans="1:7" ht="18" customHeight="1">
      <c r="A732" s="16"/>
      <c r="B732" s="25"/>
      <c r="C732" s="25"/>
      <c r="D732" s="25"/>
      <c r="E732" s="16"/>
      <c r="F732" s="16"/>
      <c r="G732" s="17"/>
    </row>
    <row r="733" spans="1:7" ht="18" customHeight="1">
      <c r="A733" s="16"/>
      <c r="B733" s="25"/>
      <c r="C733" s="25"/>
      <c r="D733" s="25"/>
      <c r="E733" s="16"/>
      <c r="F733" s="16"/>
      <c r="G733" s="17"/>
    </row>
    <row r="734" spans="1:7" ht="18" customHeight="1">
      <c r="A734" s="16"/>
      <c r="B734" s="25"/>
      <c r="C734" s="25"/>
      <c r="D734" s="25"/>
      <c r="E734" s="16"/>
      <c r="F734" s="16"/>
      <c r="G734" s="17"/>
    </row>
    <row r="735" spans="1:7" ht="18" customHeight="1">
      <c r="A735" s="16"/>
      <c r="B735" s="25"/>
      <c r="C735" s="25"/>
      <c r="D735" s="25"/>
      <c r="E735" s="16"/>
      <c r="F735" s="16"/>
      <c r="G735" s="17"/>
    </row>
    <row r="736" spans="1:7" ht="18" customHeight="1">
      <c r="A736" s="16"/>
      <c r="B736" s="25"/>
      <c r="C736" s="25"/>
      <c r="D736" s="25"/>
      <c r="E736" s="16"/>
      <c r="F736" s="16"/>
      <c r="G736" s="17"/>
    </row>
    <row r="737" spans="1:7" ht="18" customHeight="1">
      <c r="A737" s="16"/>
      <c r="B737" s="25"/>
      <c r="C737" s="25"/>
      <c r="D737" s="25"/>
      <c r="E737" s="16"/>
      <c r="F737" s="16"/>
      <c r="G737" s="17"/>
    </row>
    <row r="738" spans="1:7" ht="18" customHeight="1">
      <c r="A738" s="16"/>
      <c r="B738" s="25"/>
      <c r="C738" s="25"/>
      <c r="D738" s="25"/>
      <c r="E738" s="16"/>
      <c r="F738" s="16"/>
      <c r="G738" s="17"/>
    </row>
    <row r="739" spans="1:7" ht="18" customHeight="1">
      <c r="A739" s="16"/>
      <c r="B739" s="25"/>
      <c r="C739" s="25"/>
      <c r="D739" s="25"/>
      <c r="E739" s="16"/>
      <c r="F739" s="16"/>
      <c r="G739" s="17"/>
    </row>
    <row r="740" spans="1:7" ht="18" customHeight="1">
      <c r="A740" s="16"/>
      <c r="B740" s="25"/>
      <c r="C740" s="25"/>
      <c r="D740" s="25"/>
      <c r="E740" s="16"/>
      <c r="F740" s="16"/>
      <c r="G740" s="17"/>
    </row>
    <row r="741" spans="1:7" ht="18" customHeight="1">
      <c r="A741" s="16"/>
      <c r="B741" s="25"/>
      <c r="C741" s="25"/>
      <c r="D741" s="25"/>
      <c r="E741" s="16"/>
      <c r="F741" s="16"/>
      <c r="G741" s="17"/>
    </row>
    <row r="742" spans="1:7" ht="18" customHeight="1">
      <c r="A742" s="16"/>
      <c r="B742" s="25"/>
      <c r="C742" s="25"/>
      <c r="D742" s="25"/>
      <c r="E742" s="16"/>
      <c r="F742" s="16"/>
      <c r="G742" s="17"/>
    </row>
    <row r="743" spans="1:7" ht="18" customHeight="1">
      <c r="A743" s="16"/>
      <c r="B743" s="25"/>
      <c r="C743" s="25"/>
      <c r="D743" s="25"/>
      <c r="E743" s="16"/>
      <c r="F743" s="16"/>
      <c r="G743" s="17"/>
    </row>
    <row r="744" spans="1:7" ht="18" customHeight="1">
      <c r="A744" s="16"/>
      <c r="B744" s="25"/>
      <c r="C744" s="25"/>
      <c r="D744" s="25"/>
      <c r="E744" s="16"/>
      <c r="F744" s="16"/>
      <c r="G744" s="17"/>
    </row>
    <row r="745" spans="1:7" ht="18" customHeight="1">
      <c r="A745" s="16"/>
      <c r="B745" s="25"/>
      <c r="C745" s="25"/>
      <c r="D745" s="25"/>
      <c r="E745" s="16"/>
      <c r="F745" s="16"/>
      <c r="G745" s="17"/>
    </row>
    <row r="746" spans="1:7" ht="18" customHeight="1">
      <c r="A746" s="16"/>
      <c r="B746" s="25"/>
      <c r="C746" s="25"/>
      <c r="D746" s="25"/>
      <c r="E746" s="16"/>
      <c r="F746" s="16"/>
      <c r="G746" s="17"/>
    </row>
    <row r="747" spans="1:7" ht="18" customHeight="1">
      <c r="A747" s="16"/>
      <c r="B747" s="25"/>
      <c r="C747" s="25"/>
      <c r="D747" s="25"/>
      <c r="E747" s="16"/>
      <c r="F747" s="16"/>
      <c r="G747" s="17"/>
    </row>
    <row r="748" spans="1:7" ht="18" customHeight="1">
      <c r="A748" s="16"/>
      <c r="B748" s="25"/>
      <c r="C748" s="25"/>
      <c r="D748" s="25"/>
      <c r="E748" s="16"/>
      <c r="F748" s="16"/>
      <c r="G748" s="17"/>
    </row>
    <row r="749" spans="1:7" ht="18" customHeight="1">
      <c r="A749" s="16"/>
      <c r="B749" s="25"/>
      <c r="C749" s="25"/>
      <c r="D749" s="25"/>
      <c r="E749" s="16"/>
      <c r="F749" s="16"/>
      <c r="G749" s="17"/>
    </row>
    <row r="750" spans="1:7" ht="18" customHeight="1">
      <c r="A750" s="16"/>
      <c r="B750" s="25"/>
      <c r="C750" s="25"/>
      <c r="D750" s="25"/>
      <c r="E750" s="16"/>
      <c r="F750" s="16"/>
      <c r="G750" s="17"/>
    </row>
    <row r="751" spans="1:7" ht="18" customHeight="1">
      <c r="A751" s="16"/>
      <c r="B751" s="25"/>
      <c r="C751" s="25"/>
      <c r="D751" s="25"/>
      <c r="E751" s="16"/>
      <c r="F751" s="16"/>
      <c r="G751" s="17"/>
    </row>
    <row r="752" spans="1:7" ht="18" customHeight="1">
      <c r="A752" s="16"/>
      <c r="B752" s="25"/>
      <c r="C752" s="25"/>
      <c r="D752" s="25"/>
      <c r="E752" s="16"/>
      <c r="F752" s="16"/>
      <c r="G752" s="17"/>
    </row>
    <row r="753" spans="1:7" ht="18" customHeight="1">
      <c r="A753" s="16"/>
      <c r="B753" s="25"/>
      <c r="C753" s="25"/>
      <c r="D753" s="25"/>
      <c r="E753" s="16"/>
      <c r="F753" s="16"/>
      <c r="G753" s="17"/>
    </row>
    <row r="754" spans="1:7" ht="18" customHeight="1">
      <c r="A754" s="16"/>
      <c r="B754" s="25"/>
      <c r="C754" s="25"/>
      <c r="D754" s="25"/>
      <c r="E754" s="16"/>
      <c r="F754" s="16"/>
      <c r="G754" s="17"/>
    </row>
    <row r="755" spans="1:7" ht="18" customHeight="1">
      <c r="A755" s="16"/>
      <c r="B755" s="25"/>
      <c r="C755" s="25"/>
      <c r="D755" s="25"/>
      <c r="E755" s="16"/>
      <c r="F755" s="16"/>
      <c r="G755" s="17"/>
    </row>
    <row r="756" spans="1:7" ht="18" customHeight="1">
      <c r="A756" s="16"/>
      <c r="B756" s="25"/>
      <c r="C756" s="25"/>
      <c r="D756" s="25"/>
      <c r="E756" s="16"/>
      <c r="F756" s="16"/>
      <c r="G756" s="17"/>
    </row>
    <row r="757" spans="1:7" ht="18" customHeight="1">
      <c r="A757" s="16"/>
      <c r="B757" s="25"/>
      <c r="C757" s="25"/>
      <c r="D757" s="25"/>
      <c r="E757" s="16"/>
      <c r="F757" s="16"/>
      <c r="G757" s="17"/>
    </row>
    <row r="758" spans="1:7" ht="18" customHeight="1">
      <c r="A758" s="16"/>
      <c r="B758" s="25"/>
      <c r="C758" s="25"/>
      <c r="D758" s="25"/>
      <c r="E758" s="16"/>
      <c r="F758" s="16"/>
      <c r="G758" s="17"/>
    </row>
    <row r="759" spans="1:7" ht="18" customHeight="1">
      <c r="A759" s="16"/>
      <c r="B759" s="25"/>
      <c r="C759" s="25"/>
      <c r="D759" s="25"/>
      <c r="E759" s="16"/>
      <c r="F759" s="16"/>
      <c r="G759" s="17"/>
    </row>
    <row r="760" spans="1:7" ht="18" customHeight="1">
      <c r="A760" s="16"/>
      <c r="B760" s="25"/>
      <c r="C760" s="25"/>
      <c r="D760" s="25"/>
      <c r="E760" s="16"/>
      <c r="F760" s="16"/>
      <c r="G760" s="17"/>
    </row>
    <row r="761" spans="1:7" ht="18" customHeight="1">
      <c r="A761" s="16"/>
      <c r="B761" s="25"/>
      <c r="C761" s="25"/>
      <c r="D761" s="25"/>
      <c r="E761" s="16"/>
      <c r="F761" s="16"/>
      <c r="G761" s="17"/>
    </row>
    <row r="762" spans="1:7" ht="18" customHeight="1">
      <c r="A762" s="16"/>
      <c r="B762" s="25"/>
      <c r="C762" s="25"/>
      <c r="D762" s="25"/>
      <c r="E762" s="16"/>
      <c r="F762" s="16"/>
      <c r="G762" s="17"/>
    </row>
    <row r="763" spans="1:7" ht="18" customHeight="1">
      <c r="A763" s="16"/>
      <c r="B763" s="25"/>
      <c r="C763" s="25"/>
      <c r="D763" s="25"/>
      <c r="E763" s="16"/>
      <c r="F763" s="16"/>
      <c r="G763" s="17"/>
    </row>
    <row r="764" spans="1:7" ht="18" customHeight="1">
      <c r="A764" s="16"/>
      <c r="B764" s="25"/>
      <c r="C764" s="25"/>
      <c r="D764" s="25"/>
      <c r="E764" s="16"/>
      <c r="F764" s="16"/>
      <c r="G764" s="17"/>
    </row>
    <row r="765" spans="1:7" ht="18" customHeight="1">
      <c r="A765" s="16"/>
      <c r="B765" s="25"/>
      <c r="C765" s="25"/>
      <c r="D765" s="25"/>
      <c r="E765" s="16"/>
      <c r="F765" s="16"/>
      <c r="G765" s="17"/>
    </row>
    <row r="766" spans="1:7" ht="18" customHeight="1">
      <c r="A766" s="16"/>
      <c r="B766" s="25"/>
      <c r="C766" s="25"/>
      <c r="D766" s="25"/>
      <c r="E766" s="16"/>
      <c r="F766" s="16"/>
      <c r="G766" s="17"/>
    </row>
    <row r="767" spans="1:7" ht="18" customHeight="1">
      <c r="A767" s="16"/>
      <c r="B767" s="25"/>
      <c r="C767" s="25"/>
      <c r="D767" s="25"/>
      <c r="E767" s="16"/>
      <c r="F767" s="16"/>
      <c r="G767" s="17"/>
    </row>
    <row r="768" spans="1:7" ht="18" customHeight="1">
      <c r="A768" s="16"/>
      <c r="B768" s="25"/>
      <c r="C768" s="25"/>
      <c r="D768" s="25"/>
      <c r="E768" s="16"/>
      <c r="F768" s="16"/>
      <c r="G768" s="17"/>
    </row>
    <row r="769" spans="1:7" ht="18" customHeight="1">
      <c r="A769" s="16"/>
      <c r="B769" s="25"/>
      <c r="C769" s="25"/>
      <c r="D769" s="25"/>
      <c r="E769" s="16"/>
      <c r="F769" s="16"/>
      <c r="G769" s="17"/>
    </row>
    <row r="770" spans="1:7" ht="18" customHeight="1">
      <c r="A770" s="16"/>
      <c r="B770" s="25"/>
      <c r="C770" s="25"/>
      <c r="D770" s="25"/>
      <c r="E770" s="16"/>
      <c r="F770" s="16"/>
      <c r="G770" s="17"/>
    </row>
    <row r="771" spans="1:7" ht="18" customHeight="1">
      <c r="A771" s="16"/>
      <c r="B771" s="25"/>
      <c r="C771" s="25"/>
      <c r="D771" s="25"/>
      <c r="E771" s="16"/>
      <c r="F771" s="16"/>
      <c r="G771" s="17"/>
    </row>
    <row r="772" spans="1:7" ht="18" customHeight="1">
      <c r="A772" s="16"/>
      <c r="B772" s="25"/>
      <c r="C772" s="25"/>
      <c r="D772" s="25"/>
      <c r="E772" s="16"/>
      <c r="F772" s="16"/>
      <c r="G772" s="17"/>
    </row>
    <row r="773" spans="1:7" ht="18" customHeight="1">
      <c r="A773" s="16"/>
      <c r="B773" s="25"/>
      <c r="C773" s="25"/>
      <c r="D773" s="25"/>
      <c r="E773" s="16"/>
      <c r="F773" s="16"/>
      <c r="G773" s="17"/>
    </row>
    <row r="774" spans="1:7" ht="18" customHeight="1">
      <c r="A774" s="16"/>
      <c r="B774" s="25"/>
      <c r="C774" s="25"/>
      <c r="D774" s="25"/>
      <c r="E774" s="16"/>
      <c r="F774" s="16"/>
      <c r="G774" s="17"/>
    </row>
    <row r="775" spans="1:7" ht="18" customHeight="1">
      <c r="A775" s="16"/>
      <c r="B775" s="25"/>
      <c r="C775" s="25"/>
      <c r="D775" s="25"/>
      <c r="E775" s="16"/>
      <c r="F775" s="16"/>
      <c r="G775" s="17"/>
    </row>
    <row r="776" spans="1:7" ht="18" customHeight="1">
      <c r="A776" s="16"/>
      <c r="B776" s="25"/>
      <c r="C776" s="25"/>
      <c r="D776" s="25"/>
      <c r="E776" s="16"/>
      <c r="F776" s="16"/>
      <c r="G776" s="17"/>
    </row>
    <row r="777" spans="1:7" ht="18" customHeight="1">
      <c r="A777" s="16"/>
      <c r="B777" s="25"/>
      <c r="C777" s="25"/>
      <c r="D777" s="25"/>
      <c r="E777" s="16"/>
      <c r="F777" s="16"/>
      <c r="G777" s="17"/>
    </row>
    <row r="778" spans="1:7" ht="18" customHeight="1">
      <c r="A778" s="16"/>
      <c r="B778" s="25"/>
      <c r="C778" s="25"/>
      <c r="D778" s="25"/>
      <c r="E778" s="16"/>
      <c r="F778" s="16"/>
      <c r="G778" s="17"/>
    </row>
    <row r="779" spans="1:7" ht="18" customHeight="1">
      <c r="A779" s="16"/>
      <c r="B779" s="25"/>
      <c r="C779" s="25"/>
      <c r="D779" s="25"/>
      <c r="E779" s="16"/>
      <c r="F779" s="16"/>
      <c r="G779" s="17"/>
    </row>
    <row r="780" spans="1:7" ht="18" customHeight="1">
      <c r="A780" s="16"/>
      <c r="B780" s="25"/>
      <c r="C780" s="25"/>
      <c r="D780" s="25"/>
      <c r="E780" s="16"/>
      <c r="F780" s="16"/>
      <c r="G780" s="17"/>
    </row>
    <row r="781" spans="1:7" ht="18" customHeight="1">
      <c r="A781" s="16"/>
      <c r="B781" s="25"/>
      <c r="C781" s="25"/>
      <c r="D781" s="25"/>
      <c r="E781" s="16"/>
      <c r="F781" s="16"/>
      <c r="G781" s="17"/>
    </row>
    <row r="782" spans="1:7" ht="18" customHeight="1">
      <c r="A782" s="16"/>
      <c r="B782" s="25"/>
      <c r="C782" s="25"/>
      <c r="D782" s="25"/>
      <c r="E782" s="16"/>
      <c r="F782" s="16"/>
      <c r="G782" s="17"/>
    </row>
    <row r="783" spans="1:7" ht="18" customHeight="1">
      <c r="A783" s="16"/>
      <c r="B783" s="25"/>
      <c r="C783" s="25"/>
      <c r="D783" s="25"/>
      <c r="E783" s="16"/>
      <c r="F783" s="16"/>
      <c r="G783" s="17"/>
    </row>
    <row r="784" spans="1:7" ht="18" customHeight="1">
      <c r="A784" s="16"/>
      <c r="B784" s="25"/>
      <c r="C784" s="25"/>
      <c r="D784" s="25"/>
      <c r="E784" s="16"/>
      <c r="F784" s="16"/>
      <c r="G784" s="17"/>
    </row>
    <row r="785" spans="1:7" ht="18" customHeight="1">
      <c r="A785" s="16"/>
      <c r="B785" s="25"/>
      <c r="C785" s="25"/>
      <c r="D785" s="25"/>
      <c r="E785" s="16"/>
      <c r="F785" s="16"/>
      <c r="G785" s="17"/>
    </row>
    <row r="786" spans="1:7" ht="18" customHeight="1">
      <c r="A786" s="16"/>
      <c r="B786" s="25"/>
      <c r="C786" s="25"/>
      <c r="D786" s="25"/>
      <c r="E786" s="16"/>
      <c r="F786" s="16"/>
      <c r="G786" s="17"/>
    </row>
    <row r="787" spans="1:7" ht="18" customHeight="1">
      <c r="A787" s="16"/>
      <c r="B787" s="25"/>
      <c r="C787" s="25"/>
      <c r="D787" s="25"/>
      <c r="E787" s="16"/>
      <c r="F787" s="16"/>
      <c r="G787" s="17"/>
    </row>
    <row r="788" spans="1:7" ht="18" customHeight="1">
      <c r="A788" s="16"/>
      <c r="B788" s="25"/>
      <c r="C788" s="25"/>
      <c r="D788" s="25"/>
      <c r="E788" s="16"/>
      <c r="F788" s="16"/>
      <c r="G788" s="17"/>
    </row>
    <row r="789" spans="1:7" ht="18" customHeight="1">
      <c r="A789" s="16"/>
      <c r="B789" s="25"/>
      <c r="C789" s="25"/>
      <c r="D789" s="25"/>
      <c r="E789" s="16"/>
      <c r="F789" s="16"/>
      <c r="G789" s="17"/>
    </row>
    <row r="790" spans="1:7" ht="18" customHeight="1">
      <c r="A790" s="16"/>
      <c r="B790" s="25"/>
      <c r="C790" s="25"/>
      <c r="D790" s="25"/>
      <c r="E790" s="16"/>
      <c r="F790" s="16"/>
      <c r="G790" s="17"/>
    </row>
    <row r="791" spans="1:7" ht="18" customHeight="1">
      <c r="A791" s="16"/>
      <c r="B791" s="25"/>
      <c r="C791" s="25"/>
      <c r="D791" s="25"/>
      <c r="E791" s="16"/>
      <c r="F791" s="16"/>
      <c r="G791" s="17"/>
    </row>
    <row r="792" spans="1:7" ht="18" customHeight="1">
      <c r="A792" s="16"/>
      <c r="B792" s="25"/>
      <c r="C792" s="25"/>
      <c r="D792" s="25"/>
      <c r="E792" s="16"/>
      <c r="F792" s="16"/>
      <c r="G792" s="17"/>
    </row>
    <row r="793" spans="1:7" ht="18" customHeight="1">
      <c r="A793" s="16"/>
      <c r="B793" s="25"/>
      <c r="C793" s="25"/>
      <c r="D793" s="25"/>
      <c r="E793" s="16"/>
      <c r="F793" s="16"/>
      <c r="G793" s="17"/>
    </row>
    <row r="794" spans="1:7" ht="18" customHeight="1">
      <c r="A794" s="16"/>
      <c r="B794" s="25"/>
      <c r="C794" s="25"/>
      <c r="D794" s="25"/>
      <c r="E794" s="16"/>
      <c r="F794" s="16"/>
      <c r="G794" s="17"/>
    </row>
    <row r="795" spans="1:7" ht="18" customHeight="1">
      <c r="A795" s="16"/>
      <c r="B795" s="25"/>
      <c r="C795" s="25"/>
      <c r="D795" s="25"/>
      <c r="E795" s="16"/>
      <c r="F795" s="16"/>
      <c r="G795" s="17"/>
    </row>
    <row r="796" spans="1:7" ht="18" customHeight="1">
      <c r="A796" s="16"/>
      <c r="B796" s="25"/>
      <c r="C796" s="25"/>
      <c r="D796" s="25"/>
      <c r="E796" s="16"/>
      <c r="F796" s="16"/>
      <c r="G796" s="17"/>
    </row>
    <row r="797" spans="1:7" ht="18" customHeight="1">
      <c r="A797" s="16"/>
      <c r="B797" s="25"/>
      <c r="C797" s="25"/>
      <c r="D797" s="25"/>
      <c r="E797" s="16"/>
      <c r="F797" s="16"/>
      <c r="G797" s="17"/>
    </row>
    <row r="798" spans="1:7" ht="18" customHeight="1">
      <c r="A798" s="16"/>
      <c r="B798" s="25"/>
      <c r="C798" s="25"/>
      <c r="D798" s="25"/>
      <c r="E798" s="16"/>
      <c r="F798" s="16"/>
      <c r="G798" s="17"/>
    </row>
    <row r="799" spans="1:7" ht="18" customHeight="1">
      <c r="A799" s="16"/>
      <c r="B799" s="25"/>
      <c r="C799" s="25"/>
      <c r="D799" s="25"/>
      <c r="E799" s="16"/>
      <c r="F799" s="16"/>
      <c r="G799" s="17"/>
    </row>
    <row r="800" spans="1:7" ht="18" customHeight="1">
      <c r="A800" s="16"/>
      <c r="B800" s="25"/>
      <c r="C800" s="25"/>
      <c r="D800" s="25"/>
      <c r="E800" s="16"/>
      <c r="F800" s="16"/>
      <c r="G800" s="17"/>
    </row>
    <row r="801" spans="1:7" ht="18" customHeight="1">
      <c r="A801" s="16"/>
      <c r="B801" s="25"/>
      <c r="C801" s="25"/>
      <c r="D801" s="25"/>
      <c r="E801" s="16"/>
      <c r="F801" s="16"/>
      <c r="G801" s="17"/>
    </row>
    <row r="802" spans="1:7" ht="18" customHeight="1">
      <c r="A802" s="16"/>
      <c r="B802" s="25"/>
      <c r="C802" s="25"/>
      <c r="D802" s="25"/>
      <c r="E802" s="16"/>
      <c r="F802" s="16"/>
      <c r="G802" s="17"/>
    </row>
    <row r="803" spans="1:7" ht="18" customHeight="1">
      <c r="A803" s="16"/>
      <c r="B803" s="25"/>
      <c r="C803" s="25"/>
      <c r="D803" s="25"/>
      <c r="E803" s="16"/>
      <c r="F803" s="16"/>
      <c r="G803" s="17"/>
    </row>
    <row r="804" spans="1:7" ht="18" customHeight="1">
      <c r="A804" s="16"/>
      <c r="B804" s="25"/>
      <c r="C804" s="25"/>
      <c r="D804" s="25"/>
      <c r="E804" s="16"/>
      <c r="F804" s="16"/>
      <c r="G804" s="17"/>
    </row>
    <row r="805" spans="1:7" ht="18" customHeight="1">
      <c r="A805" s="16"/>
      <c r="B805" s="25"/>
      <c r="C805" s="25"/>
      <c r="D805" s="25"/>
      <c r="E805" s="16"/>
      <c r="F805" s="16"/>
      <c r="G805" s="17"/>
    </row>
    <row r="806" spans="1:7" ht="18" customHeight="1">
      <c r="A806" s="16"/>
      <c r="B806" s="25"/>
      <c r="C806" s="25"/>
      <c r="D806" s="25"/>
      <c r="E806" s="16"/>
      <c r="F806" s="16"/>
      <c r="G806" s="17"/>
    </row>
    <row r="807" spans="1:7" ht="18" customHeight="1">
      <c r="A807" s="16"/>
      <c r="B807" s="25"/>
      <c r="C807" s="25"/>
      <c r="D807" s="25"/>
      <c r="E807" s="16"/>
      <c r="F807" s="16"/>
      <c r="G807" s="17"/>
    </row>
    <row r="808" spans="1:7" ht="18" customHeight="1">
      <c r="A808" s="16"/>
      <c r="B808" s="25"/>
      <c r="C808" s="25"/>
      <c r="D808" s="25"/>
      <c r="E808" s="16"/>
      <c r="F808" s="16"/>
      <c r="G808" s="17"/>
    </row>
    <row r="809" spans="1:7" ht="18" customHeight="1">
      <c r="A809" s="16"/>
      <c r="B809" s="25"/>
      <c r="C809" s="25"/>
      <c r="D809" s="25"/>
      <c r="E809" s="16"/>
      <c r="F809" s="16"/>
      <c r="G809" s="17"/>
    </row>
    <row r="810" spans="1:7" ht="18" customHeight="1">
      <c r="A810" s="16"/>
      <c r="B810" s="25"/>
      <c r="C810" s="25"/>
      <c r="D810" s="25"/>
      <c r="E810" s="16"/>
      <c r="F810" s="16"/>
      <c r="G810" s="17"/>
    </row>
    <row r="811" spans="1:7" ht="18" customHeight="1">
      <c r="A811" s="16"/>
      <c r="B811" s="25"/>
      <c r="C811" s="25"/>
      <c r="D811" s="25"/>
      <c r="E811" s="16"/>
      <c r="F811" s="16"/>
      <c r="G811" s="17"/>
    </row>
    <row r="812" spans="1:7" ht="18" customHeight="1">
      <c r="A812" s="16"/>
      <c r="B812" s="25"/>
      <c r="C812" s="25"/>
      <c r="D812" s="25"/>
      <c r="E812" s="16"/>
      <c r="F812" s="16"/>
      <c r="G812" s="17"/>
    </row>
    <row r="813" spans="1:7" ht="18" customHeight="1">
      <c r="A813" s="16"/>
      <c r="B813" s="25"/>
      <c r="C813" s="25"/>
      <c r="D813" s="25"/>
      <c r="E813" s="16"/>
      <c r="F813" s="16"/>
      <c r="G813" s="17"/>
    </row>
    <row r="814" spans="1:7" ht="18" customHeight="1">
      <c r="A814" s="16"/>
      <c r="B814" s="25"/>
      <c r="C814" s="25"/>
      <c r="D814" s="25"/>
      <c r="E814" s="16"/>
      <c r="F814" s="16"/>
      <c r="G814" s="17"/>
    </row>
    <row r="815" spans="1:7" ht="18" customHeight="1">
      <c r="A815" s="16"/>
      <c r="B815" s="25"/>
      <c r="C815" s="25"/>
      <c r="D815" s="25"/>
      <c r="E815" s="16"/>
      <c r="F815" s="16"/>
      <c r="G815" s="17"/>
    </row>
    <row r="816" spans="1:7" ht="18" customHeight="1">
      <c r="A816" s="16"/>
      <c r="B816" s="25"/>
      <c r="C816" s="25"/>
      <c r="D816" s="25"/>
      <c r="E816" s="16"/>
      <c r="F816" s="16"/>
      <c r="G816" s="17"/>
    </row>
    <row r="817" spans="1:7" ht="18" customHeight="1">
      <c r="A817" s="16"/>
      <c r="B817" s="25"/>
      <c r="C817" s="25"/>
      <c r="D817" s="25"/>
      <c r="E817" s="16"/>
      <c r="F817" s="16"/>
      <c r="G817" s="17"/>
    </row>
    <row r="818" spans="1:7" ht="18" customHeight="1">
      <c r="A818" s="16"/>
      <c r="B818" s="25"/>
      <c r="C818" s="25"/>
      <c r="D818" s="25"/>
      <c r="E818" s="16"/>
      <c r="F818" s="16"/>
      <c r="G818" s="17"/>
    </row>
    <row r="819" spans="1:7" ht="18" customHeight="1">
      <c r="A819" s="16"/>
      <c r="B819" s="25"/>
      <c r="C819" s="25"/>
      <c r="D819" s="25"/>
      <c r="E819" s="16"/>
      <c r="F819" s="16"/>
      <c r="G819" s="17"/>
    </row>
    <row r="820" spans="1:7" ht="18" customHeight="1">
      <c r="A820" s="16"/>
      <c r="B820" s="25"/>
      <c r="C820" s="25"/>
      <c r="D820" s="25"/>
      <c r="E820" s="16"/>
      <c r="F820" s="16"/>
      <c r="G820" s="17"/>
    </row>
    <row r="821" spans="1:7" ht="18" customHeight="1">
      <c r="A821" s="16"/>
      <c r="B821" s="25"/>
      <c r="C821" s="25"/>
      <c r="D821" s="25"/>
      <c r="E821" s="16"/>
      <c r="F821" s="16"/>
      <c r="G821" s="17"/>
    </row>
    <row r="822" spans="1:7" ht="18" customHeight="1">
      <c r="A822" s="16"/>
      <c r="B822" s="25"/>
      <c r="C822" s="25"/>
      <c r="D822" s="25"/>
      <c r="E822" s="16"/>
      <c r="F822" s="16"/>
      <c r="G822" s="17"/>
    </row>
    <row r="823" spans="1:7" ht="18" customHeight="1">
      <c r="A823" s="16"/>
      <c r="B823" s="25"/>
      <c r="C823" s="25"/>
      <c r="D823" s="25"/>
      <c r="E823" s="16"/>
      <c r="F823" s="16"/>
      <c r="G823" s="17"/>
    </row>
    <row r="824" spans="1:7" ht="18" customHeight="1">
      <c r="A824" s="16"/>
      <c r="B824" s="25"/>
      <c r="C824" s="25"/>
      <c r="D824" s="25"/>
      <c r="E824" s="16"/>
      <c r="F824" s="16"/>
      <c r="G824" s="17"/>
    </row>
    <row r="825" spans="1:7" ht="18" customHeight="1">
      <c r="A825" s="16"/>
      <c r="B825" s="25"/>
      <c r="C825" s="25"/>
      <c r="D825" s="25"/>
      <c r="E825" s="16"/>
      <c r="F825" s="16"/>
      <c r="G825" s="17"/>
    </row>
    <row r="826" spans="1:7" ht="18" customHeight="1">
      <c r="A826" s="16"/>
      <c r="B826" s="25"/>
      <c r="C826" s="25"/>
      <c r="D826" s="25"/>
      <c r="E826" s="16"/>
      <c r="F826" s="16"/>
      <c r="G826" s="17"/>
    </row>
    <row r="827" spans="1:7" ht="18" customHeight="1">
      <c r="A827" s="16"/>
      <c r="B827" s="25"/>
      <c r="C827" s="25"/>
      <c r="D827" s="25"/>
      <c r="E827" s="16"/>
      <c r="F827" s="16"/>
      <c r="G827" s="17"/>
    </row>
    <row r="828" spans="1:7" ht="18" customHeight="1">
      <c r="A828" s="16"/>
      <c r="B828" s="25"/>
      <c r="C828" s="25"/>
      <c r="D828" s="25"/>
      <c r="E828" s="16"/>
      <c r="F828" s="16"/>
      <c r="G828" s="17"/>
    </row>
    <row r="829" spans="1:7" ht="18" customHeight="1">
      <c r="A829" s="16"/>
      <c r="B829" s="25"/>
      <c r="C829" s="25"/>
      <c r="D829" s="25"/>
      <c r="E829" s="16"/>
      <c r="F829" s="16"/>
      <c r="G829" s="17"/>
    </row>
    <row r="830" spans="1:7" ht="18" customHeight="1">
      <c r="A830" s="16"/>
      <c r="B830" s="25"/>
      <c r="C830" s="25"/>
      <c r="D830" s="25"/>
      <c r="E830" s="16"/>
      <c r="F830" s="16"/>
      <c r="G830" s="17"/>
    </row>
    <row r="831" spans="1:7" ht="18" customHeight="1">
      <c r="A831" s="16"/>
      <c r="B831" s="25"/>
      <c r="C831" s="25"/>
      <c r="D831" s="25"/>
      <c r="E831" s="16"/>
      <c r="F831" s="16"/>
      <c r="G831" s="17"/>
    </row>
    <row r="832" spans="1:7" ht="18" customHeight="1">
      <c r="A832" s="16"/>
      <c r="B832" s="25"/>
      <c r="C832" s="25"/>
      <c r="D832" s="25"/>
      <c r="E832" s="16"/>
      <c r="F832" s="16"/>
      <c r="G832" s="17"/>
    </row>
    <row r="833" spans="1:7" ht="18" customHeight="1">
      <c r="A833" s="16"/>
      <c r="B833" s="25"/>
      <c r="C833" s="25"/>
      <c r="D833" s="25"/>
      <c r="E833" s="16"/>
      <c r="F833" s="16"/>
      <c r="G833" s="17"/>
    </row>
    <row r="834" spans="1:7" ht="18" customHeight="1">
      <c r="A834" s="16"/>
      <c r="B834" s="25"/>
      <c r="C834" s="25"/>
      <c r="D834" s="25"/>
      <c r="E834" s="16"/>
      <c r="F834" s="16"/>
      <c r="G834" s="17"/>
    </row>
    <row r="835" spans="1:7" ht="18" customHeight="1">
      <c r="A835" s="16"/>
      <c r="B835" s="25"/>
      <c r="C835" s="25"/>
      <c r="D835" s="25"/>
      <c r="E835" s="16"/>
      <c r="F835" s="16"/>
      <c r="G835" s="17"/>
    </row>
    <row r="836" spans="1:7" ht="18" customHeight="1">
      <c r="A836" s="16"/>
      <c r="B836" s="25"/>
      <c r="C836" s="25"/>
      <c r="D836" s="25"/>
      <c r="E836" s="16"/>
      <c r="F836" s="16"/>
      <c r="G836" s="17"/>
    </row>
    <row r="837" spans="1:7" ht="18" customHeight="1">
      <c r="A837" s="16"/>
      <c r="B837" s="25"/>
      <c r="C837" s="25"/>
      <c r="D837" s="25"/>
      <c r="E837" s="16"/>
      <c r="F837" s="16"/>
      <c r="G837" s="17"/>
    </row>
    <row r="838" spans="1:7" ht="18" customHeight="1">
      <c r="A838" s="16"/>
      <c r="B838" s="25"/>
      <c r="C838" s="25"/>
      <c r="D838" s="25"/>
      <c r="E838" s="16"/>
      <c r="F838" s="16"/>
      <c r="G838" s="17"/>
    </row>
    <row r="839" spans="1:7" ht="18" customHeight="1">
      <c r="A839" s="16"/>
      <c r="B839" s="25"/>
      <c r="C839" s="25"/>
      <c r="D839" s="25"/>
      <c r="E839" s="16"/>
      <c r="F839" s="16"/>
      <c r="G839" s="17"/>
    </row>
    <row r="840" spans="1:7" ht="18" customHeight="1">
      <c r="A840" s="16"/>
      <c r="B840" s="25"/>
      <c r="C840" s="25"/>
      <c r="D840" s="25"/>
      <c r="E840" s="16"/>
      <c r="F840" s="16"/>
      <c r="G840" s="17"/>
    </row>
    <row r="841" spans="1:7" ht="18" customHeight="1">
      <c r="A841" s="16"/>
      <c r="B841" s="25"/>
      <c r="C841" s="25"/>
      <c r="D841" s="25"/>
      <c r="E841" s="16"/>
      <c r="F841" s="16"/>
      <c r="G841" s="17"/>
    </row>
    <row r="842" spans="1:7" ht="18" customHeight="1">
      <c r="A842" s="16"/>
      <c r="B842" s="25"/>
      <c r="C842" s="25"/>
      <c r="D842" s="25"/>
      <c r="E842" s="16"/>
      <c r="F842" s="16"/>
      <c r="G842" s="17"/>
    </row>
    <row r="843" spans="1:7" ht="18" customHeight="1">
      <c r="A843" s="16"/>
      <c r="B843" s="25"/>
      <c r="C843" s="25"/>
      <c r="D843" s="25"/>
      <c r="E843" s="16"/>
      <c r="F843" s="16"/>
      <c r="G843" s="17"/>
    </row>
    <row r="844" spans="1:7" ht="18" customHeight="1">
      <c r="A844" s="16"/>
      <c r="B844" s="25"/>
      <c r="C844" s="25"/>
      <c r="D844" s="25"/>
      <c r="E844" s="16"/>
      <c r="F844" s="16"/>
      <c r="G844" s="17"/>
    </row>
    <row r="845" spans="1:7" ht="18" customHeight="1">
      <c r="A845" s="16"/>
      <c r="B845" s="25"/>
      <c r="C845" s="25"/>
      <c r="D845" s="25"/>
      <c r="E845" s="16"/>
      <c r="F845" s="16"/>
      <c r="G845" s="17"/>
    </row>
    <row r="846" spans="1:7" ht="18" customHeight="1">
      <c r="A846" s="16"/>
      <c r="B846" s="25"/>
      <c r="C846" s="25"/>
      <c r="D846" s="25"/>
      <c r="E846" s="16"/>
      <c r="F846" s="16"/>
      <c r="G846" s="17"/>
    </row>
    <row r="847" spans="1:7" ht="18" customHeight="1">
      <c r="A847" s="16"/>
      <c r="B847" s="25"/>
      <c r="C847" s="25"/>
      <c r="D847" s="25"/>
      <c r="E847" s="16"/>
      <c r="F847" s="16"/>
      <c r="G847" s="17"/>
    </row>
    <row r="848" spans="1:7" ht="18" customHeight="1">
      <c r="A848" s="16"/>
      <c r="B848" s="25"/>
      <c r="C848" s="25"/>
      <c r="D848" s="25"/>
      <c r="E848" s="16"/>
      <c r="F848" s="16"/>
      <c r="G848" s="17"/>
    </row>
    <row r="849" spans="1:7" ht="18" customHeight="1">
      <c r="A849" s="16"/>
      <c r="B849" s="25"/>
      <c r="C849" s="25"/>
      <c r="D849" s="25"/>
      <c r="E849" s="16"/>
      <c r="F849" s="16"/>
      <c r="G849" s="17"/>
    </row>
    <row r="850" spans="1:7" ht="18" customHeight="1">
      <c r="A850" s="16"/>
      <c r="B850" s="25"/>
      <c r="C850" s="25"/>
      <c r="D850" s="25"/>
      <c r="E850" s="16"/>
      <c r="F850" s="16"/>
      <c r="G850" s="17"/>
    </row>
    <row r="851" spans="1:7" ht="18" customHeight="1">
      <c r="A851" s="16"/>
      <c r="B851" s="25"/>
      <c r="C851" s="25"/>
      <c r="D851" s="25"/>
      <c r="E851" s="16"/>
      <c r="F851" s="16"/>
      <c r="G851" s="17"/>
    </row>
    <row r="852" spans="1:7" ht="18" customHeight="1">
      <c r="A852" s="16"/>
      <c r="B852" s="25"/>
      <c r="C852" s="25"/>
      <c r="D852" s="25"/>
      <c r="E852" s="16"/>
      <c r="F852" s="16"/>
      <c r="G852" s="17"/>
    </row>
    <row r="853" spans="1:7" ht="18" customHeight="1">
      <c r="A853" s="16"/>
      <c r="B853" s="25"/>
      <c r="C853" s="25"/>
      <c r="D853" s="25"/>
      <c r="E853" s="16"/>
      <c r="F853" s="16"/>
      <c r="G853" s="17"/>
    </row>
    <row r="854" spans="1:7" ht="18" customHeight="1">
      <c r="A854" s="16"/>
      <c r="B854" s="25"/>
      <c r="C854" s="25"/>
      <c r="D854" s="25"/>
      <c r="E854" s="16"/>
      <c r="F854" s="16"/>
      <c r="G854" s="17"/>
    </row>
    <row r="855" spans="1:7" ht="18" customHeight="1">
      <c r="A855" s="16"/>
      <c r="B855" s="25"/>
      <c r="C855" s="25"/>
      <c r="D855" s="25"/>
      <c r="E855" s="16"/>
      <c r="F855" s="16"/>
      <c r="G855" s="17"/>
    </row>
    <row r="856" spans="1:7" ht="18" customHeight="1">
      <c r="A856" s="16"/>
      <c r="B856" s="25"/>
      <c r="C856" s="25"/>
      <c r="D856" s="25"/>
      <c r="E856" s="16"/>
      <c r="F856" s="16"/>
      <c r="G856" s="17"/>
    </row>
    <row r="857" spans="1:7" ht="18" customHeight="1">
      <c r="A857" s="16"/>
      <c r="B857" s="25"/>
      <c r="C857" s="25"/>
      <c r="D857" s="25"/>
      <c r="E857" s="16"/>
      <c r="F857" s="16"/>
      <c r="G857" s="17"/>
    </row>
    <row r="858" spans="1:7" ht="18" customHeight="1">
      <c r="A858" s="16"/>
      <c r="B858" s="25"/>
      <c r="C858" s="25"/>
      <c r="D858" s="25"/>
      <c r="E858" s="16"/>
      <c r="F858" s="16"/>
      <c r="G858" s="17"/>
    </row>
    <row r="859" spans="1:7" ht="18" customHeight="1">
      <c r="A859" s="16"/>
      <c r="B859" s="25"/>
      <c r="C859" s="25"/>
      <c r="D859" s="25"/>
      <c r="E859" s="16"/>
      <c r="F859" s="16"/>
      <c r="G859" s="17"/>
    </row>
    <row r="860" spans="1:7" ht="18" customHeight="1">
      <c r="A860" s="16"/>
      <c r="B860" s="25"/>
      <c r="C860" s="25"/>
      <c r="D860" s="25"/>
      <c r="E860" s="16"/>
      <c r="F860" s="16"/>
      <c r="G860" s="17"/>
    </row>
    <row r="861" spans="1:7" ht="18" customHeight="1">
      <c r="A861" s="16"/>
      <c r="B861" s="25"/>
      <c r="C861" s="25"/>
      <c r="D861" s="25"/>
      <c r="E861" s="16"/>
      <c r="F861" s="16"/>
      <c r="G861" s="17"/>
    </row>
    <row r="862" spans="1:7" ht="18" customHeight="1">
      <c r="A862" s="16"/>
      <c r="B862" s="25"/>
      <c r="C862" s="25"/>
      <c r="D862" s="25"/>
      <c r="E862" s="16"/>
      <c r="F862" s="16"/>
      <c r="G862" s="17"/>
    </row>
    <row r="863" spans="1:7" ht="18" customHeight="1">
      <c r="A863" s="16"/>
      <c r="B863" s="25"/>
      <c r="C863" s="25"/>
      <c r="D863" s="25"/>
      <c r="E863" s="16"/>
      <c r="F863" s="16"/>
      <c r="G863" s="17"/>
    </row>
    <row r="864" spans="1:7" ht="18" customHeight="1">
      <c r="A864" s="16"/>
      <c r="B864" s="25"/>
      <c r="C864" s="25"/>
      <c r="D864" s="25"/>
      <c r="E864" s="16"/>
      <c r="F864" s="16"/>
      <c r="G864" s="17"/>
    </row>
    <row r="865" spans="1:7" ht="18" customHeight="1">
      <c r="A865" s="16"/>
      <c r="B865" s="25"/>
      <c r="C865" s="25"/>
      <c r="D865" s="25"/>
      <c r="E865" s="16"/>
      <c r="F865" s="16"/>
      <c r="G865" s="17"/>
    </row>
    <row r="866" spans="1:7" ht="18" customHeight="1">
      <c r="A866" s="16"/>
      <c r="B866" s="25"/>
      <c r="C866" s="25"/>
      <c r="D866" s="25"/>
      <c r="E866" s="16"/>
      <c r="F866" s="16"/>
      <c r="G866" s="17"/>
    </row>
    <row r="867" spans="1:7" ht="18" customHeight="1">
      <c r="A867" s="16"/>
      <c r="B867" s="25"/>
      <c r="C867" s="25"/>
      <c r="D867" s="25"/>
      <c r="E867" s="16"/>
      <c r="F867" s="16"/>
      <c r="G867" s="17"/>
    </row>
    <row r="868" spans="1:7" ht="18" customHeight="1">
      <c r="A868" s="16"/>
      <c r="B868" s="25"/>
      <c r="C868" s="25"/>
      <c r="D868" s="25"/>
      <c r="E868" s="16"/>
      <c r="F868" s="16"/>
      <c r="G868" s="17"/>
    </row>
    <row r="869" spans="1:7" ht="18" customHeight="1">
      <c r="A869" s="16"/>
      <c r="B869" s="25"/>
      <c r="C869" s="25"/>
      <c r="D869" s="25"/>
      <c r="E869" s="16"/>
      <c r="F869" s="16"/>
      <c r="G869" s="17"/>
    </row>
    <row r="870" spans="1:7" ht="18" customHeight="1">
      <c r="A870" s="16"/>
      <c r="B870" s="25"/>
      <c r="C870" s="25"/>
      <c r="D870" s="25"/>
      <c r="E870" s="16"/>
      <c r="F870" s="16"/>
      <c r="G870" s="17"/>
    </row>
    <row r="871" spans="1:7" ht="18" customHeight="1">
      <c r="A871" s="16"/>
      <c r="B871" s="25"/>
      <c r="C871" s="25"/>
      <c r="D871" s="25"/>
      <c r="E871" s="16"/>
      <c r="F871" s="16"/>
      <c r="G871" s="17"/>
    </row>
    <row r="872" spans="1:7" ht="18" customHeight="1">
      <c r="A872" s="16"/>
      <c r="B872" s="25"/>
      <c r="C872" s="25"/>
      <c r="D872" s="25"/>
      <c r="E872" s="16"/>
      <c r="F872" s="16"/>
      <c r="G872" s="17"/>
    </row>
    <row r="873" spans="1:7" ht="18" customHeight="1">
      <c r="A873" s="16"/>
      <c r="B873" s="25"/>
      <c r="C873" s="25"/>
      <c r="D873" s="25"/>
      <c r="E873" s="16"/>
      <c r="F873" s="16"/>
      <c r="G873" s="17"/>
    </row>
    <row r="874" spans="1:7" ht="18" customHeight="1">
      <c r="A874" s="16"/>
      <c r="B874" s="25"/>
      <c r="C874" s="25"/>
      <c r="D874" s="25"/>
      <c r="E874" s="16"/>
      <c r="F874" s="16"/>
      <c r="G874" s="17"/>
    </row>
    <row r="875" spans="1:7" ht="18" customHeight="1">
      <c r="A875" s="16"/>
      <c r="B875" s="25"/>
      <c r="C875" s="25"/>
      <c r="D875" s="25"/>
      <c r="E875" s="16"/>
      <c r="F875" s="16"/>
      <c r="G875" s="17"/>
    </row>
    <row r="876" spans="1:7" ht="18" customHeight="1">
      <c r="A876" s="16"/>
      <c r="B876" s="25"/>
      <c r="C876" s="25"/>
      <c r="D876" s="25"/>
      <c r="E876" s="16"/>
      <c r="F876" s="16"/>
      <c r="G876" s="17"/>
    </row>
    <row r="877" spans="1:7" ht="18" customHeight="1">
      <c r="A877" s="16"/>
      <c r="B877" s="25"/>
      <c r="C877" s="25"/>
      <c r="D877" s="25"/>
      <c r="E877" s="16"/>
      <c r="F877" s="16"/>
      <c r="G877" s="17"/>
    </row>
    <row r="878" spans="1:7" ht="18" customHeight="1">
      <c r="A878" s="16"/>
      <c r="B878" s="25"/>
      <c r="C878" s="25"/>
      <c r="D878" s="25"/>
      <c r="E878" s="16"/>
      <c r="F878" s="16"/>
      <c r="G878" s="17"/>
    </row>
    <row r="879" spans="1:7" ht="18" customHeight="1">
      <c r="A879" s="16"/>
      <c r="B879" s="25"/>
      <c r="C879" s="25"/>
      <c r="D879" s="25"/>
      <c r="E879" s="16"/>
      <c r="F879" s="16"/>
      <c r="G879" s="17"/>
    </row>
    <row r="880" spans="1:7" ht="18" customHeight="1">
      <c r="A880" s="16"/>
      <c r="B880" s="25"/>
      <c r="C880" s="25"/>
      <c r="D880" s="25"/>
      <c r="E880" s="16"/>
      <c r="F880" s="16"/>
      <c r="G880" s="17"/>
    </row>
    <row r="881" spans="1:7" ht="18" customHeight="1">
      <c r="A881" s="16"/>
      <c r="B881" s="25"/>
      <c r="C881" s="25"/>
      <c r="D881" s="25"/>
      <c r="E881" s="16"/>
      <c r="F881" s="16"/>
      <c r="G881" s="17"/>
    </row>
    <row r="882" spans="1:7" ht="18" customHeight="1">
      <c r="A882" s="16"/>
      <c r="B882" s="25"/>
      <c r="C882" s="25"/>
      <c r="D882" s="25"/>
      <c r="E882" s="16"/>
      <c r="F882" s="16"/>
      <c r="G882" s="17"/>
    </row>
    <row r="883" spans="1:7" ht="18" customHeight="1">
      <c r="A883" s="16"/>
      <c r="B883" s="25"/>
      <c r="C883" s="25"/>
      <c r="D883" s="25"/>
      <c r="E883" s="16"/>
      <c r="F883" s="16"/>
      <c r="G883" s="17"/>
    </row>
    <row r="884" spans="1:7" ht="18" customHeight="1">
      <c r="A884" s="16"/>
      <c r="B884" s="25"/>
      <c r="C884" s="25"/>
      <c r="D884" s="25"/>
      <c r="E884" s="16"/>
      <c r="F884" s="16"/>
      <c r="G884" s="17"/>
    </row>
    <row r="885" spans="1:7" ht="18" customHeight="1">
      <c r="A885" s="16"/>
      <c r="B885" s="25"/>
      <c r="C885" s="25"/>
      <c r="D885" s="25"/>
      <c r="E885" s="16"/>
      <c r="F885" s="16"/>
      <c r="G885" s="17"/>
    </row>
    <row r="886" spans="1:7" ht="18" customHeight="1">
      <c r="A886" s="16"/>
      <c r="B886" s="25"/>
      <c r="C886" s="25"/>
      <c r="D886" s="25"/>
      <c r="E886" s="16"/>
      <c r="F886" s="16"/>
      <c r="G886" s="17"/>
    </row>
    <row r="887" spans="1:7" ht="18" customHeight="1">
      <c r="A887" s="16"/>
      <c r="B887" s="25"/>
      <c r="C887" s="25"/>
      <c r="D887" s="25"/>
      <c r="E887" s="16"/>
      <c r="F887" s="16"/>
      <c r="G887" s="17"/>
    </row>
    <row r="888" spans="1:7" ht="18" customHeight="1">
      <c r="A888" s="16"/>
      <c r="B888" s="25"/>
      <c r="C888" s="25"/>
      <c r="D888" s="25"/>
      <c r="E888" s="16"/>
      <c r="F888" s="16"/>
      <c r="G888" s="17"/>
    </row>
    <row r="889" spans="1:7" ht="18" customHeight="1">
      <c r="A889" s="16"/>
      <c r="B889" s="25"/>
      <c r="C889" s="25"/>
      <c r="D889" s="25"/>
      <c r="E889" s="16"/>
      <c r="F889" s="16"/>
      <c r="G889" s="17"/>
    </row>
    <row r="890" spans="1:7" ht="18" customHeight="1">
      <c r="A890" s="16"/>
      <c r="B890" s="25"/>
      <c r="C890" s="25"/>
      <c r="D890" s="25"/>
      <c r="E890" s="16"/>
      <c r="F890" s="16"/>
      <c r="G890" s="17"/>
    </row>
    <row r="891" spans="1:7" ht="18" customHeight="1">
      <c r="A891" s="16"/>
      <c r="B891" s="25"/>
      <c r="C891" s="25"/>
      <c r="D891" s="25"/>
      <c r="E891" s="16"/>
      <c r="F891" s="16"/>
      <c r="G891" s="17"/>
    </row>
    <row r="892" spans="1:7" ht="18" customHeight="1">
      <c r="A892" s="16"/>
      <c r="B892" s="25"/>
      <c r="C892" s="25"/>
      <c r="D892" s="25"/>
      <c r="E892" s="16"/>
      <c r="F892" s="16"/>
      <c r="G892" s="17"/>
    </row>
    <row r="893" spans="1:7" ht="18" customHeight="1">
      <c r="A893" s="16"/>
      <c r="B893" s="25"/>
      <c r="C893" s="25"/>
      <c r="D893" s="25"/>
      <c r="E893" s="16"/>
      <c r="F893" s="16"/>
      <c r="G893" s="17"/>
    </row>
    <row r="894" spans="1:7" ht="18" customHeight="1">
      <c r="A894" s="16"/>
      <c r="B894" s="25"/>
      <c r="C894" s="25"/>
      <c r="D894" s="25"/>
      <c r="E894" s="16"/>
      <c r="F894" s="16"/>
      <c r="G894" s="17"/>
    </row>
    <row r="895" spans="1:7" ht="18" customHeight="1">
      <c r="A895" s="16"/>
      <c r="B895" s="25"/>
      <c r="C895" s="25"/>
      <c r="D895" s="25"/>
      <c r="E895" s="16"/>
      <c r="F895" s="16"/>
      <c r="G895" s="17"/>
    </row>
    <row r="896" spans="1:7" ht="18" customHeight="1">
      <c r="A896" s="16"/>
      <c r="B896" s="25"/>
      <c r="C896" s="25"/>
      <c r="D896" s="25"/>
      <c r="E896" s="16"/>
      <c r="F896" s="16"/>
      <c r="G896" s="17"/>
    </row>
    <row r="897" spans="1:7" ht="18" customHeight="1">
      <c r="A897" s="16"/>
      <c r="B897" s="25"/>
      <c r="C897" s="25"/>
      <c r="D897" s="25"/>
      <c r="E897" s="16"/>
      <c r="F897" s="16"/>
      <c r="G897" s="17"/>
    </row>
    <row r="898" spans="1:7" ht="18" customHeight="1">
      <c r="A898" s="16"/>
      <c r="B898" s="25"/>
      <c r="C898" s="25"/>
      <c r="D898" s="25"/>
      <c r="E898" s="16"/>
      <c r="F898" s="16"/>
      <c r="G898" s="17"/>
    </row>
    <row r="899" spans="1:7" ht="18" customHeight="1">
      <c r="A899" s="16"/>
      <c r="B899" s="25"/>
      <c r="C899" s="25"/>
      <c r="D899" s="25"/>
      <c r="E899" s="16"/>
      <c r="F899" s="16"/>
      <c r="G899" s="17"/>
    </row>
    <row r="900" spans="1:7" ht="18" customHeight="1">
      <c r="A900" s="16"/>
      <c r="B900" s="25"/>
      <c r="C900" s="25"/>
      <c r="D900" s="25"/>
      <c r="E900" s="16"/>
      <c r="F900" s="16"/>
      <c r="G900" s="17"/>
    </row>
    <row r="901" spans="1:7" ht="18" customHeight="1">
      <c r="A901" s="16"/>
      <c r="B901" s="25"/>
      <c r="C901" s="25"/>
      <c r="D901" s="25"/>
      <c r="E901" s="16"/>
      <c r="F901" s="16"/>
      <c r="G901" s="17"/>
    </row>
    <row r="902" spans="1:7" ht="18" customHeight="1">
      <c r="A902" s="16"/>
      <c r="B902" s="25"/>
      <c r="C902" s="25"/>
      <c r="D902" s="25"/>
      <c r="E902" s="16"/>
      <c r="F902" s="16"/>
      <c r="G902" s="17"/>
    </row>
    <row r="903" spans="1:7" ht="18" customHeight="1">
      <c r="A903" s="16"/>
      <c r="B903" s="25"/>
      <c r="C903" s="25"/>
      <c r="D903" s="25"/>
      <c r="E903" s="16"/>
      <c r="F903" s="16"/>
      <c r="G903" s="17"/>
    </row>
    <row r="904" spans="1:7" ht="18" customHeight="1">
      <c r="A904" s="16"/>
      <c r="B904" s="25"/>
      <c r="C904" s="25"/>
      <c r="D904" s="25"/>
      <c r="E904" s="16"/>
      <c r="F904" s="16"/>
      <c r="G904" s="17"/>
    </row>
    <row r="905" spans="1:7" ht="18" customHeight="1">
      <c r="A905" s="16"/>
      <c r="B905" s="25"/>
      <c r="C905" s="25"/>
      <c r="D905" s="25"/>
      <c r="E905" s="16"/>
      <c r="F905" s="16"/>
      <c r="G905" s="17"/>
    </row>
    <row r="906" spans="1:7" ht="18" customHeight="1">
      <c r="A906" s="16"/>
      <c r="B906" s="25"/>
      <c r="C906" s="25"/>
      <c r="D906" s="25"/>
      <c r="E906" s="16"/>
      <c r="F906" s="16"/>
      <c r="G906" s="17"/>
    </row>
    <row r="907" spans="1:7" ht="18" customHeight="1">
      <c r="A907" s="16"/>
      <c r="B907" s="25"/>
      <c r="C907" s="25"/>
      <c r="D907" s="25"/>
      <c r="E907" s="16"/>
      <c r="F907" s="16"/>
      <c r="G907" s="17"/>
    </row>
    <row r="908" spans="1:7" ht="18" customHeight="1">
      <c r="A908" s="16"/>
      <c r="B908" s="25"/>
      <c r="C908" s="25"/>
      <c r="D908" s="25"/>
      <c r="E908" s="16"/>
      <c r="F908" s="16"/>
      <c r="G908" s="17"/>
    </row>
    <row r="909" spans="1:7" ht="18" customHeight="1">
      <c r="A909" s="16"/>
      <c r="B909" s="25"/>
      <c r="C909" s="25"/>
      <c r="D909" s="25"/>
      <c r="E909" s="16"/>
      <c r="F909" s="16"/>
      <c r="G909" s="17"/>
    </row>
    <row r="910" spans="1:7" ht="18" customHeight="1">
      <c r="A910" s="16"/>
      <c r="B910" s="25"/>
      <c r="C910" s="25"/>
      <c r="D910" s="25"/>
      <c r="E910" s="16"/>
      <c r="F910" s="16"/>
      <c r="G910" s="17"/>
    </row>
    <row r="911" spans="1:7" ht="18" customHeight="1">
      <c r="A911" s="16"/>
      <c r="B911" s="25"/>
      <c r="C911" s="25"/>
      <c r="D911" s="25"/>
      <c r="E911" s="16"/>
      <c r="F911" s="16"/>
      <c r="G911" s="17"/>
    </row>
    <row r="912" spans="1:7" ht="18" customHeight="1">
      <c r="A912" s="16"/>
      <c r="B912" s="25"/>
      <c r="C912" s="25"/>
      <c r="D912" s="25"/>
      <c r="E912" s="16"/>
      <c r="F912" s="16"/>
      <c r="G912" s="17"/>
    </row>
    <row r="913" spans="1:7" ht="18" customHeight="1">
      <c r="A913" s="16"/>
      <c r="B913" s="25"/>
      <c r="C913" s="25"/>
      <c r="D913" s="25"/>
      <c r="E913" s="16"/>
      <c r="F913" s="16"/>
      <c r="G913" s="17"/>
    </row>
    <row r="914" spans="1:7" ht="18" customHeight="1">
      <c r="A914" s="16"/>
      <c r="B914" s="25"/>
      <c r="C914" s="25"/>
      <c r="D914" s="25"/>
      <c r="E914" s="16"/>
      <c r="F914" s="16"/>
      <c r="G914" s="17"/>
    </row>
    <row r="915" spans="1:7" ht="18" customHeight="1">
      <c r="A915" s="16"/>
      <c r="B915" s="25"/>
      <c r="C915" s="25"/>
      <c r="D915" s="25"/>
      <c r="E915" s="16"/>
      <c r="F915" s="16"/>
      <c r="G915" s="17"/>
    </row>
    <row r="916" spans="1:7" ht="18" customHeight="1">
      <c r="A916" s="16"/>
      <c r="B916" s="25"/>
      <c r="C916" s="25"/>
      <c r="D916" s="25"/>
      <c r="E916" s="16"/>
      <c r="F916" s="16"/>
      <c r="G916" s="17"/>
    </row>
    <row r="917" spans="1:7" ht="18" customHeight="1">
      <c r="A917" s="16"/>
      <c r="B917" s="25"/>
      <c r="C917" s="25"/>
      <c r="D917" s="25"/>
      <c r="E917" s="16"/>
      <c r="F917" s="16"/>
      <c r="G917" s="17"/>
    </row>
    <row r="918" spans="1:7" ht="18" customHeight="1">
      <c r="A918" s="16"/>
      <c r="B918" s="25"/>
      <c r="C918" s="25"/>
      <c r="D918" s="25"/>
      <c r="E918" s="16"/>
      <c r="F918" s="16"/>
      <c r="G918" s="17"/>
    </row>
    <row r="919" spans="1:7" ht="18" customHeight="1">
      <c r="A919" s="16"/>
      <c r="B919" s="25"/>
      <c r="C919" s="25"/>
      <c r="D919" s="25"/>
      <c r="E919" s="16"/>
      <c r="F919" s="16"/>
      <c r="G919" s="17"/>
    </row>
    <row r="920" spans="1:7" ht="18" customHeight="1">
      <c r="A920" s="16"/>
      <c r="B920" s="25"/>
      <c r="C920" s="25"/>
      <c r="D920" s="25"/>
      <c r="E920" s="16"/>
      <c r="F920" s="16"/>
      <c r="G920" s="17"/>
    </row>
    <row r="921" spans="1:7" ht="18" customHeight="1">
      <c r="A921" s="16"/>
      <c r="B921" s="25"/>
      <c r="C921" s="25"/>
      <c r="D921" s="25"/>
      <c r="E921" s="16"/>
      <c r="F921" s="16"/>
      <c r="G921" s="17"/>
    </row>
    <row r="922" spans="1:7" ht="18" customHeight="1">
      <c r="A922" s="16"/>
      <c r="B922" s="25"/>
      <c r="C922" s="25"/>
      <c r="D922" s="25"/>
      <c r="E922" s="16"/>
      <c r="F922" s="16"/>
      <c r="G922" s="17"/>
    </row>
    <row r="923" spans="1:7" ht="18" customHeight="1">
      <c r="A923" s="16"/>
      <c r="B923" s="25"/>
      <c r="C923" s="25"/>
      <c r="D923" s="25"/>
      <c r="E923" s="16"/>
      <c r="F923" s="16"/>
      <c r="G923" s="17"/>
    </row>
    <row r="924" spans="1:7" ht="18" customHeight="1">
      <c r="A924" s="16"/>
      <c r="B924" s="25"/>
      <c r="C924" s="25"/>
      <c r="D924" s="25"/>
      <c r="E924" s="16"/>
      <c r="F924" s="16"/>
      <c r="G924" s="17"/>
    </row>
    <row r="925" spans="1:7" ht="18" customHeight="1">
      <c r="A925" s="16"/>
      <c r="B925" s="25"/>
      <c r="C925" s="25"/>
      <c r="D925" s="25"/>
      <c r="E925" s="16"/>
      <c r="F925" s="16"/>
      <c r="G925" s="17"/>
    </row>
    <row r="926" spans="1:7" ht="18" customHeight="1">
      <c r="A926" s="16"/>
      <c r="B926" s="25"/>
      <c r="C926" s="25"/>
      <c r="D926" s="25"/>
      <c r="E926" s="16"/>
      <c r="F926" s="16"/>
      <c r="G926" s="17"/>
    </row>
    <row r="927" spans="1:7" ht="18" customHeight="1">
      <c r="A927" s="16"/>
      <c r="B927" s="25"/>
      <c r="C927" s="25"/>
      <c r="D927" s="25"/>
      <c r="E927" s="16"/>
      <c r="F927" s="16"/>
      <c r="G927" s="17"/>
    </row>
    <row r="928" spans="1:7" ht="18" customHeight="1">
      <c r="A928" s="16"/>
      <c r="B928" s="25"/>
      <c r="C928" s="25"/>
      <c r="D928" s="25"/>
      <c r="E928" s="16"/>
      <c r="F928" s="16"/>
      <c r="G928" s="17"/>
    </row>
    <row r="929" spans="1:7" ht="18" customHeight="1">
      <c r="A929" s="16"/>
      <c r="B929" s="25"/>
      <c r="C929" s="25"/>
      <c r="D929" s="25"/>
      <c r="E929" s="16"/>
      <c r="F929" s="16"/>
      <c r="G929" s="17"/>
    </row>
    <row r="930" spans="1:7" ht="18" customHeight="1">
      <c r="A930" s="16"/>
      <c r="B930" s="25"/>
      <c r="C930" s="25"/>
      <c r="D930" s="25"/>
      <c r="E930" s="16"/>
      <c r="F930" s="16"/>
      <c r="G930" s="17"/>
    </row>
    <row r="931" spans="1:7" ht="18" customHeight="1">
      <c r="A931" s="16"/>
      <c r="B931" s="25"/>
      <c r="C931" s="25"/>
      <c r="D931" s="25"/>
      <c r="E931" s="16"/>
      <c r="F931" s="16"/>
      <c r="G931" s="17"/>
    </row>
    <row r="932" spans="1:7" ht="18" customHeight="1">
      <c r="A932" s="16"/>
      <c r="B932" s="25"/>
      <c r="C932" s="25"/>
      <c r="D932" s="25"/>
      <c r="E932" s="16"/>
      <c r="F932" s="16"/>
      <c r="G932" s="17"/>
    </row>
    <row r="933" spans="1:7" ht="18" customHeight="1">
      <c r="A933" s="16"/>
      <c r="B933" s="25"/>
      <c r="C933" s="25"/>
      <c r="D933" s="25"/>
      <c r="E933" s="16"/>
      <c r="F933" s="16"/>
      <c r="G933" s="17"/>
    </row>
    <row r="934" spans="1:7" ht="18" customHeight="1">
      <c r="A934" s="16"/>
      <c r="B934" s="25"/>
      <c r="C934" s="25"/>
      <c r="D934" s="25"/>
      <c r="E934" s="16"/>
      <c r="F934" s="16"/>
      <c r="G934" s="17"/>
    </row>
    <row r="935" spans="1:7" ht="18" customHeight="1">
      <c r="A935" s="16"/>
      <c r="B935" s="25"/>
      <c r="C935" s="25"/>
      <c r="D935" s="25"/>
      <c r="E935" s="16"/>
      <c r="F935" s="16"/>
      <c r="G935" s="17"/>
    </row>
    <row r="936" spans="1:7" ht="18" customHeight="1">
      <c r="A936" s="16"/>
      <c r="B936" s="25"/>
      <c r="C936" s="25"/>
      <c r="D936" s="25"/>
      <c r="E936" s="16"/>
      <c r="F936" s="16"/>
      <c r="G936" s="17"/>
    </row>
    <row r="937" spans="1:7" ht="18" customHeight="1">
      <c r="A937" s="16"/>
      <c r="B937" s="25"/>
      <c r="C937" s="25"/>
      <c r="D937" s="25"/>
      <c r="E937" s="16"/>
      <c r="F937" s="16"/>
      <c r="G937" s="17"/>
    </row>
    <row r="938" spans="1:7" ht="18" customHeight="1">
      <c r="A938" s="16"/>
      <c r="B938" s="25"/>
      <c r="C938" s="25"/>
      <c r="D938" s="25"/>
      <c r="E938" s="16"/>
      <c r="F938" s="16"/>
      <c r="G938" s="17"/>
    </row>
    <row r="939" spans="1:7" ht="18" customHeight="1">
      <c r="A939" s="16"/>
      <c r="B939" s="25"/>
      <c r="C939" s="25"/>
      <c r="D939" s="25"/>
      <c r="E939" s="16"/>
      <c r="F939" s="16"/>
      <c r="G939" s="17"/>
    </row>
    <row r="940" spans="1:7" ht="18" customHeight="1">
      <c r="A940" s="16"/>
      <c r="B940" s="25"/>
      <c r="C940" s="25"/>
      <c r="D940" s="25"/>
      <c r="E940" s="16"/>
      <c r="F940" s="16"/>
      <c r="G940" s="17"/>
    </row>
    <row r="941" spans="1:7" ht="18" customHeight="1">
      <c r="A941" s="16"/>
      <c r="B941" s="25"/>
      <c r="C941" s="25"/>
      <c r="D941" s="25"/>
      <c r="E941" s="16"/>
      <c r="F941" s="16"/>
      <c r="G941" s="17"/>
    </row>
    <row r="942" spans="1:7" ht="18" customHeight="1">
      <c r="A942" s="16"/>
      <c r="B942" s="25"/>
      <c r="C942" s="25"/>
      <c r="D942" s="25"/>
      <c r="E942" s="16"/>
      <c r="F942" s="16"/>
      <c r="G942" s="17"/>
    </row>
    <row r="943" spans="1:7" ht="18" customHeight="1">
      <c r="A943" s="16"/>
      <c r="B943" s="25"/>
      <c r="C943" s="25"/>
      <c r="D943" s="25"/>
      <c r="E943" s="16"/>
      <c r="F943" s="16"/>
      <c r="G943" s="17"/>
    </row>
    <row r="944" spans="1:7" ht="18" customHeight="1">
      <c r="A944" s="16"/>
      <c r="B944" s="25"/>
      <c r="C944" s="25"/>
      <c r="D944" s="25"/>
      <c r="E944" s="16"/>
      <c r="F944" s="16"/>
      <c r="G944" s="17"/>
    </row>
    <row r="945" spans="1:7" ht="18" customHeight="1">
      <c r="A945" s="16"/>
      <c r="B945" s="25"/>
      <c r="C945" s="25"/>
      <c r="D945" s="25"/>
      <c r="E945" s="16"/>
      <c r="F945" s="16"/>
      <c r="G945" s="17"/>
    </row>
    <row r="946" spans="1:7" ht="18" customHeight="1">
      <c r="A946" s="16"/>
      <c r="B946" s="25"/>
      <c r="C946" s="25"/>
      <c r="D946" s="25"/>
      <c r="E946" s="16"/>
      <c r="F946" s="16"/>
      <c r="G946" s="17"/>
    </row>
    <row r="947" spans="1:7" ht="18" customHeight="1">
      <c r="A947" s="16"/>
      <c r="B947" s="25"/>
      <c r="C947" s="25"/>
      <c r="D947" s="25"/>
      <c r="E947" s="16"/>
      <c r="F947" s="16"/>
      <c r="G947" s="17"/>
    </row>
    <row r="948" spans="1:7" ht="18" customHeight="1">
      <c r="A948" s="16"/>
      <c r="B948" s="25"/>
      <c r="C948" s="25"/>
      <c r="D948" s="25"/>
      <c r="E948" s="16"/>
      <c r="F948" s="16"/>
      <c r="G948" s="17"/>
    </row>
    <row r="949" spans="1:7" ht="18" customHeight="1">
      <c r="A949" s="16"/>
      <c r="B949" s="25"/>
      <c r="C949" s="25"/>
      <c r="D949" s="25"/>
      <c r="E949" s="16"/>
      <c r="F949" s="16"/>
      <c r="G949" s="17"/>
    </row>
    <row r="950" spans="1:7" ht="18" customHeight="1">
      <c r="A950" s="16"/>
      <c r="B950" s="25"/>
      <c r="C950" s="25"/>
      <c r="D950" s="25"/>
      <c r="E950" s="16"/>
      <c r="F950" s="16"/>
      <c r="G950" s="17"/>
    </row>
    <row r="951" spans="1:7" ht="18" customHeight="1">
      <c r="A951" s="16"/>
      <c r="B951" s="25"/>
      <c r="C951" s="25"/>
      <c r="D951" s="25"/>
      <c r="E951" s="16"/>
      <c r="F951" s="16"/>
      <c r="G951" s="17"/>
    </row>
    <row r="952" spans="1:7" ht="18" customHeight="1">
      <c r="A952" s="16"/>
      <c r="B952" s="25"/>
      <c r="C952" s="25"/>
      <c r="D952" s="25"/>
      <c r="E952" s="16"/>
      <c r="F952" s="16"/>
      <c r="G952" s="17"/>
    </row>
    <row r="953" spans="1:7" ht="18" customHeight="1">
      <c r="A953" s="16"/>
      <c r="B953" s="25"/>
      <c r="C953" s="25"/>
      <c r="D953" s="25"/>
      <c r="E953" s="16"/>
      <c r="F953" s="16"/>
      <c r="G953" s="17"/>
    </row>
    <row r="954" spans="1:7" ht="18" customHeight="1">
      <c r="A954" s="16"/>
      <c r="B954" s="25"/>
      <c r="C954" s="25"/>
      <c r="D954" s="25"/>
      <c r="E954" s="16"/>
      <c r="F954" s="16"/>
      <c r="G954" s="17"/>
    </row>
    <row r="955" spans="1:7" ht="18" customHeight="1">
      <c r="A955" s="16"/>
      <c r="B955" s="25"/>
      <c r="C955" s="25"/>
      <c r="D955" s="25"/>
      <c r="E955" s="16"/>
      <c r="F955" s="16"/>
      <c r="G955" s="17"/>
    </row>
    <row r="956" spans="1:7" ht="18" customHeight="1">
      <c r="A956" s="16"/>
      <c r="B956" s="25"/>
      <c r="C956" s="25"/>
      <c r="D956" s="25"/>
      <c r="E956" s="16"/>
      <c r="F956" s="16"/>
      <c r="G956" s="17"/>
    </row>
    <row r="957" spans="1:7" ht="18" customHeight="1">
      <c r="A957" s="16"/>
      <c r="B957" s="25"/>
      <c r="C957" s="25"/>
      <c r="D957" s="25"/>
      <c r="E957" s="16"/>
      <c r="F957" s="16"/>
      <c r="G957" s="17"/>
    </row>
    <row r="958" spans="1:7" ht="18" customHeight="1">
      <c r="A958" s="16"/>
      <c r="B958" s="25"/>
      <c r="C958" s="25"/>
      <c r="D958" s="25"/>
      <c r="E958" s="16"/>
      <c r="F958" s="16"/>
      <c r="G958" s="17"/>
    </row>
    <row r="959" spans="1:7" ht="18" customHeight="1">
      <c r="A959" s="16"/>
      <c r="B959" s="25"/>
      <c r="C959" s="25"/>
      <c r="D959" s="25"/>
      <c r="E959" s="16"/>
      <c r="F959" s="16"/>
      <c r="G959" s="17"/>
    </row>
    <row r="960" spans="1:7" ht="18" customHeight="1">
      <c r="A960" s="16"/>
      <c r="B960" s="25"/>
      <c r="C960" s="25"/>
      <c r="D960" s="25"/>
      <c r="E960" s="16"/>
      <c r="F960" s="16"/>
      <c r="G960" s="17"/>
    </row>
    <row r="961" spans="1:7" ht="18" customHeight="1">
      <c r="A961" s="16"/>
      <c r="B961" s="25"/>
      <c r="C961" s="25"/>
      <c r="D961" s="25"/>
      <c r="E961" s="16"/>
      <c r="F961" s="16"/>
      <c r="G961" s="17"/>
    </row>
    <row r="962" spans="1:7" ht="18" customHeight="1">
      <c r="A962" s="16"/>
      <c r="B962" s="25"/>
      <c r="C962" s="25"/>
      <c r="D962" s="25"/>
      <c r="E962" s="16"/>
      <c r="F962" s="16"/>
      <c r="G962" s="17"/>
    </row>
    <row r="963" spans="1:7" ht="18" customHeight="1">
      <c r="A963" s="16"/>
      <c r="B963" s="25"/>
      <c r="C963" s="25"/>
      <c r="D963" s="25"/>
      <c r="E963" s="16"/>
      <c r="F963" s="16"/>
      <c r="G963" s="17"/>
    </row>
    <row r="964" spans="1:7" ht="18" customHeight="1">
      <c r="A964" s="16"/>
      <c r="B964" s="25"/>
      <c r="C964" s="25"/>
      <c r="D964" s="25"/>
      <c r="E964" s="16"/>
      <c r="F964" s="16"/>
      <c r="G964" s="17"/>
    </row>
    <row r="965" spans="1:7" ht="18" customHeight="1">
      <c r="A965" s="16"/>
      <c r="B965" s="25"/>
      <c r="C965" s="25"/>
      <c r="D965" s="25"/>
      <c r="E965" s="16"/>
      <c r="F965" s="16"/>
      <c r="G965" s="17"/>
    </row>
    <row r="966" spans="1:7" ht="18" customHeight="1">
      <c r="A966" s="16"/>
      <c r="B966" s="25"/>
      <c r="C966" s="25"/>
      <c r="D966" s="25"/>
      <c r="E966" s="16"/>
      <c r="F966" s="16"/>
      <c r="G966" s="17"/>
    </row>
    <row r="967" spans="1:7" ht="18" customHeight="1">
      <c r="A967" s="16"/>
      <c r="B967" s="25"/>
      <c r="C967" s="25"/>
      <c r="D967" s="25"/>
      <c r="E967" s="16"/>
      <c r="F967" s="16"/>
      <c r="G967" s="17"/>
    </row>
    <row r="968" spans="1:7" ht="18" customHeight="1">
      <c r="A968" s="16"/>
      <c r="B968" s="25"/>
      <c r="C968" s="25"/>
      <c r="D968" s="25"/>
      <c r="E968" s="16"/>
      <c r="F968" s="16"/>
      <c r="G968" s="17"/>
    </row>
    <row r="969" spans="1:7" ht="18" customHeight="1">
      <c r="A969" s="16"/>
      <c r="B969" s="25"/>
      <c r="C969" s="25"/>
      <c r="D969" s="25"/>
      <c r="E969" s="16"/>
      <c r="F969" s="16"/>
      <c r="G969" s="17"/>
    </row>
    <row r="970" spans="1:7" ht="18" customHeight="1">
      <c r="A970" s="16"/>
      <c r="B970" s="25"/>
      <c r="C970" s="25"/>
      <c r="D970" s="25"/>
      <c r="E970" s="16"/>
      <c r="F970" s="16"/>
      <c r="G970" s="17"/>
    </row>
    <row r="971" spans="1:7" ht="18" customHeight="1">
      <c r="A971" s="16"/>
      <c r="B971" s="25"/>
      <c r="C971" s="25"/>
      <c r="D971" s="25"/>
      <c r="E971" s="16"/>
      <c r="F971" s="16"/>
      <c r="G971" s="17"/>
    </row>
    <row r="972" spans="1:7" ht="18" customHeight="1">
      <c r="A972" s="16"/>
      <c r="B972" s="25"/>
      <c r="C972" s="25"/>
      <c r="D972" s="25"/>
      <c r="E972" s="16"/>
      <c r="F972" s="16"/>
      <c r="G972" s="17"/>
    </row>
    <row r="973" spans="1:7" ht="18" customHeight="1">
      <c r="A973" s="16"/>
      <c r="B973" s="25"/>
      <c r="C973" s="25"/>
      <c r="D973" s="25"/>
      <c r="E973" s="16"/>
      <c r="F973" s="16"/>
      <c r="G973" s="17"/>
    </row>
    <row r="974" spans="1:7" ht="18" customHeight="1">
      <c r="A974" s="16"/>
      <c r="B974" s="25"/>
      <c r="C974" s="25"/>
      <c r="D974" s="25"/>
      <c r="E974" s="16"/>
      <c r="F974" s="16"/>
      <c r="G974" s="17"/>
    </row>
    <row r="975" spans="1:7" ht="18" customHeight="1">
      <c r="A975" s="16"/>
      <c r="B975" s="25"/>
      <c r="C975" s="25"/>
      <c r="D975" s="25"/>
      <c r="E975" s="16"/>
      <c r="F975" s="16"/>
      <c r="G975" s="17"/>
    </row>
    <row r="976" spans="1:7" ht="18" customHeight="1">
      <c r="A976" s="16"/>
      <c r="B976" s="25"/>
      <c r="C976" s="25"/>
      <c r="D976" s="25"/>
      <c r="E976" s="16"/>
      <c r="F976" s="16"/>
      <c r="G976" s="17"/>
    </row>
    <row r="977" spans="1:7" ht="18" customHeight="1">
      <c r="A977" s="16"/>
      <c r="B977" s="25"/>
      <c r="C977" s="25"/>
      <c r="D977" s="25"/>
      <c r="E977" s="16"/>
      <c r="F977" s="16"/>
      <c r="G977" s="17"/>
    </row>
    <row r="978" spans="1:7" ht="18" customHeight="1">
      <c r="A978" s="16"/>
      <c r="B978" s="25"/>
      <c r="C978" s="25"/>
      <c r="D978" s="25"/>
      <c r="E978" s="16"/>
      <c r="F978" s="16"/>
      <c r="G978" s="17"/>
    </row>
    <row r="979" spans="1:7" ht="18" customHeight="1">
      <c r="A979" s="16"/>
      <c r="B979" s="25"/>
      <c r="C979" s="25"/>
      <c r="D979" s="25"/>
      <c r="E979" s="16"/>
      <c r="F979" s="16"/>
      <c r="G979" s="17"/>
    </row>
    <row r="980" spans="1:7" ht="18" customHeight="1">
      <c r="A980" s="16"/>
      <c r="B980" s="25"/>
      <c r="C980" s="25"/>
      <c r="D980" s="25"/>
      <c r="E980" s="16"/>
      <c r="F980" s="16"/>
      <c r="G980" s="17"/>
    </row>
    <row r="981" spans="1:7" ht="18" customHeight="1">
      <c r="A981" s="16"/>
      <c r="B981" s="25"/>
      <c r="C981" s="25"/>
      <c r="D981" s="25"/>
      <c r="E981" s="16"/>
      <c r="F981" s="16"/>
      <c r="G981" s="17"/>
    </row>
    <row r="982" spans="1:7" ht="18" customHeight="1">
      <c r="A982" s="16"/>
      <c r="B982" s="25"/>
      <c r="C982" s="25"/>
      <c r="D982" s="25"/>
      <c r="E982" s="16"/>
      <c r="F982" s="16"/>
      <c r="G982" s="17"/>
    </row>
    <row r="983" spans="1:7" ht="18" customHeight="1">
      <c r="A983" s="16"/>
      <c r="B983" s="25"/>
      <c r="C983" s="25"/>
      <c r="D983" s="25"/>
      <c r="E983" s="16"/>
      <c r="F983" s="16"/>
      <c r="G983" s="17"/>
    </row>
    <row r="984" spans="1:7" ht="18" customHeight="1">
      <c r="A984" s="16"/>
      <c r="B984" s="25"/>
      <c r="C984" s="25"/>
      <c r="D984" s="25"/>
      <c r="E984" s="16"/>
      <c r="F984" s="16"/>
      <c r="G984" s="17"/>
    </row>
    <row r="985" spans="1:7" ht="18" customHeight="1">
      <c r="A985" s="16"/>
      <c r="B985" s="25"/>
      <c r="C985" s="25"/>
      <c r="D985" s="25"/>
      <c r="E985" s="16"/>
      <c r="F985" s="16"/>
      <c r="G985" s="17"/>
    </row>
    <row r="986" spans="1:7" ht="18" customHeight="1">
      <c r="A986" s="16"/>
      <c r="B986" s="25"/>
      <c r="C986" s="25"/>
      <c r="D986" s="25"/>
      <c r="E986" s="16"/>
      <c r="F986" s="16"/>
      <c r="G986" s="17"/>
    </row>
    <row r="987" spans="1:7" ht="18" customHeight="1">
      <c r="A987" s="16"/>
      <c r="B987" s="25"/>
      <c r="C987" s="25"/>
      <c r="D987" s="25"/>
      <c r="E987" s="16"/>
      <c r="F987" s="16"/>
      <c r="G987" s="17"/>
    </row>
    <row r="988" spans="1:7" ht="18" customHeight="1">
      <c r="A988" s="16"/>
      <c r="B988" s="25"/>
      <c r="C988" s="25"/>
      <c r="D988" s="25"/>
      <c r="E988" s="16"/>
      <c r="F988" s="16"/>
      <c r="G988" s="17"/>
    </row>
    <row r="989" spans="1:7" ht="18" customHeight="1">
      <c r="A989" s="16"/>
      <c r="B989" s="25"/>
      <c r="C989" s="25"/>
      <c r="D989" s="25"/>
      <c r="E989" s="16"/>
      <c r="F989" s="16"/>
      <c r="G989" s="17"/>
    </row>
    <row r="990" spans="1:7" ht="18" customHeight="1">
      <c r="A990" s="16"/>
      <c r="B990" s="25"/>
      <c r="C990" s="25"/>
      <c r="D990" s="25"/>
      <c r="E990" s="16"/>
      <c r="F990" s="16"/>
      <c r="G990" s="17"/>
    </row>
    <row r="991" spans="1:7" ht="18" customHeight="1">
      <c r="A991" s="16"/>
      <c r="B991" s="25"/>
      <c r="C991" s="25"/>
      <c r="D991" s="25"/>
      <c r="E991" s="16"/>
      <c r="F991" s="16"/>
      <c r="G991" s="17"/>
    </row>
    <row r="992" spans="1:7" ht="18" customHeight="1">
      <c r="A992" s="16"/>
      <c r="B992" s="25"/>
      <c r="C992" s="25"/>
      <c r="D992" s="25"/>
      <c r="E992" s="16"/>
      <c r="F992" s="16"/>
      <c r="G992" s="17"/>
    </row>
    <row r="993" spans="1:7" ht="18" customHeight="1">
      <c r="A993" s="16"/>
      <c r="B993" s="25"/>
      <c r="C993" s="25"/>
      <c r="D993" s="25"/>
      <c r="E993" s="16"/>
      <c r="F993" s="16"/>
      <c r="G993" s="17"/>
    </row>
    <row r="994" spans="1:7" ht="18" customHeight="1">
      <c r="A994" s="16"/>
      <c r="B994" s="25"/>
      <c r="C994" s="25"/>
      <c r="D994" s="25"/>
      <c r="E994" s="16"/>
      <c r="F994" s="16"/>
      <c r="G994" s="17"/>
    </row>
    <row r="995" spans="1:7" ht="18" customHeight="1">
      <c r="A995" s="16"/>
      <c r="B995" s="25"/>
      <c r="C995" s="25"/>
      <c r="D995" s="25"/>
      <c r="E995" s="16"/>
      <c r="F995" s="16"/>
      <c r="G995" s="17"/>
    </row>
    <row r="996" spans="1:7" ht="18" customHeight="1">
      <c r="A996" s="16"/>
      <c r="B996" s="25"/>
      <c r="C996" s="25"/>
      <c r="D996" s="25"/>
      <c r="E996" s="16"/>
      <c r="F996" s="16"/>
      <c r="G996" s="17"/>
    </row>
    <row r="997" spans="1:7" ht="18" customHeight="1">
      <c r="A997" s="16"/>
      <c r="B997" s="25"/>
      <c r="C997" s="25"/>
      <c r="D997" s="25"/>
      <c r="E997" s="16"/>
      <c r="F997" s="16"/>
      <c r="G997" s="17"/>
    </row>
    <row r="998" spans="1:7" ht="18" customHeight="1">
      <c r="A998" s="16"/>
      <c r="B998" s="25"/>
      <c r="C998" s="25"/>
      <c r="D998" s="25"/>
      <c r="E998" s="16"/>
      <c r="F998" s="16"/>
      <c r="G998" s="17"/>
    </row>
    <row r="999" spans="1:7" ht="18" customHeight="1">
      <c r="A999" s="16"/>
      <c r="B999" s="25"/>
      <c r="C999" s="25"/>
      <c r="D999" s="25"/>
      <c r="E999" s="16"/>
      <c r="F999" s="16"/>
      <c r="G999" s="17"/>
    </row>
    <row r="1000" spans="1:7" ht="18" customHeight="1">
      <c r="A1000" s="16"/>
      <c r="B1000" s="25"/>
      <c r="C1000" s="25"/>
      <c r="D1000" s="25"/>
      <c r="E1000" s="16"/>
      <c r="F1000" s="16"/>
      <c r="G1000" s="17"/>
    </row>
    <row r="1001" spans="1:7" ht="18" customHeight="1">
      <c r="A1001" s="16"/>
      <c r="B1001" s="25"/>
      <c r="C1001" s="25"/>
      <c r="D1001" s="25"/>
      <c r="E1001" s="16"/>
      <c r="F1001" s="16"/>
      <c r="G1001" s="17"/>
    </row>
    <row r="1002" spans="1:7" ht="18" customHeight="1">
      <c r="A1002" s="16"/>
      <c r="B1002" s="25"/>
      <c r="C1002" s="25"/>
      <c r="D1002" s="25"/>
      <c r="E1002" s="16"/>
      <c r="F1002" s="16"/>
      <c r="G1002" s="17"/>
    </row>
    <row r="1003" spans="1:7" ht="18" customHeight="1">
      <c r="A1003" s="16"/>
      <c r="B1003" s="25"/>
      <c r="C1003" s="25"/>
      <c r="D1003" s="25"/>
      <c r="E1003" s="16"/>
      <c r="F1003" s="16"/>
      <c r="G1003" s="17"/>
    </row>
    <row r="1004" spans="1:7" ht="18" customHeight="1">
      <c r="A1004" s="16"/>
      <c r="B1004" s="25"/>
      <c r="C1004" s="25"/>
      <c r="D1004" s="25"/>
      <c r="E1004" s="16"/>
      <c r="F1004" s="16"/>
      <c r="G1004" s="17"/>
    </row>
    <row r="1005" spans="1:7" ht="18" customHeight="1">
      <c r="A1005" s="16"/>
      <c r="B1005" s="25"/>
      <c r="C1005" s="25"/>
      <c r="D1005" s="25"/>
      <c r="E1005" s="16"/>
      <c r="F1005" s="16"/>
      <c r="G1005" s="17"/>
    </row>
    <row r="1006" spans="1:7" ht="18" customHeight="1">
      <c r="A1006" s="16"/>
      <c r="B1006" s="25"/>
      <c r="C1006" s="25"/>
      <c r="D1006" s="25"/>
      <c r="E1006" s="16"/>
      <c r="F1006" s="16"/>
      <c r="G1006" s="17"/>
    </row>
    <row r="1007" spans="1:7" ht="18" customHeight="1">
      <c r="A1007" s="16"/>
      <c r="B1007" s="25"/>
      <c r="C1007" s="25"/>
      <c r="D1007" s="25"/>
      <c r="E1007" s="16"/>
      <c r="F1007" s="16"/>
      <c r="G1007" s="17"/>
    </row>
    <row r="1008" spans="1:7" ht="18" customHeight="1">
      <c r="A1008" s="16"/>
      <c r="B1008" s="25"/>
      <c r="C1008" s="25"/>
      <c r="D1008" s="25"/>
      <c r="E1008" s="16"/>
      <c r="F1008" s="16"/>
      <c r="G1008" s="17"/>
    </row>
  </sheetData>
  <mergeCells count="2">
    <mergeCell ref="A4:B4"/>
    <mergeCell ref="A6:F6"/>
  </mergeCells>
  <conditionalFormatting sqref="D1:E1008">
    <cfRule type="cellIs" dxfId="1" priority="1" operator="equal">
      <formula>"Low"</formula>
    </cfRule>
    <cfRule type="cellIs" dxfId="0" priority="2" operator="equal">
      <formula>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9"/>
  <sheetViews>
    <sheetView showGridLines="0" workbookViewId="0">
      <selection activeCell="A6" sqref="A6:H6"/>
    </sheetView>
  </sheetViews>
  <sheetFormatPr defaultColWidth="12.6328125" defaultRowHeight="15.75" customHeight="1"/>
  <cols>
    <col min="1" max="1" width="12.7265625" customWidth="1"/>
    <col min="2" max="2" width="13.453125" customWidth="1"/>
    <col min="3" max="3" width="12.453125" customWidth="1"/>
    <col min="4" max="5" width="10.6328125" customWidth="1"/>
    <col min="6" max="6" width="22.08984375" customWidth="1"/>
    <col min="7" max="8" width="11.08984375" customWidth="1"/>
    <col min="9" max="9" width="6.08984375" customWidth="1"/>
  </cols>
  <sheetData>
    <row r="1" spans="1:9" ht="6" customHeight="1">
      <c r="A1" s="1"/>
      <c r="B1" s="30"/>
      <c r="C1" s="2"/>
      <c r="D1" s="3"/>
      <c r="E1" s="3"/>
      <c r="F1" s="3"/>
      <c r="G1" s="3"/>
      <c r="H1" s="3"/>
      <c r="I1" s="1"/>
    </row>
    <row r="2" spans="1:9" ht="18" customHeight="1">
      <c r="A2" s="4"/>
      <c r="B2" s="31"/>
      <c r="C2" s="5"/>
      <c r="D2" s="6"/>
      <c r="E2" s="6"/>
      <c r="F2" s="6"/>
      <c r="G2" s="6"/>
      <c r="H2" s="6"/>
      <c r="I2" s="7"/>
    </row>
    <row r="3" spans="1:9" ht="19.5" customHeight="1">
      <c r="A3" s="8" t="s">
        <v>0</v>
      </c>
      <c r="B3" s="9"/>
      <c r="C3" s="9"/>
      <c r="D3" s="22"/>
      <c r="E3" s="22"/>
      <c r="F3" s="10"/>
      <c r="G3" s="22"/>
      <c r="H3" s="10"/>
      <c r="I3" s="7"/>
    </row>
    <row r="4" spans="1:9" ht="12" customHeight="1">
      <c r="A4" s="34"/>
      <c r="B4" s="35"/>
      <c r="C4" s="35"/>
      <c r="D4" s="23"/>
      <c r="E4" s="23"/>
      <c r="F4" s="11"/>
      <c r="G4" s="23"/>
      <c r="H4" s="11"/>
      <c r="I4" s="12"/>
    </row>
    <row r="5" spans="1:9" ht="18" hidden="1" customHeight="1">
      <c r="A5" s="13"/>
      <c r="B5" s="14"/>
      <c r="C5" s="14"/>
      <c r="D5" s="24"/>
      <c r="E5" s="24"/>
      <c r="F5" s="14"/>
      <c r="G5" s="24"/>
      <c r="H5" s="14"/>
      <c r="I5" s="15"/>
    </row>
    <row r="6" spans="1:9" ht="49" customHeight="1">
      <c r="A6" s="36" t="s">
        <v>193</v>
      </c>
      <c r="B6" s="35"/>
      <c r="C6" s="35"/>
      <c r="D6" s="35"/>
      <c r="E6" s="35"/>
      <c r="F6" s="35"/>
      <c r="G6" s="35"/>
      <c r="H6" s="35"/>
      <c r="I6" s="15"/>
    </row>
    <row r="7" spans="1:9" ht="13">
      <c r="A7" s="13"/>
      <c r="B7" s="14"/>
      <c r="C7" s="14"/>
      <c r="D7" s="24"/>
      <c r="E7" s="24"/>
      <c r="F7" s="14"/>
      <c r="G7" s="24"/>
      <c r="H7" s="14"/>
      <c r="I7" s="15"/>
    </row>
    <row r="8" spans="1:9" ht="18" customHeight="1">
      <c r="A8" s="16" t="s">
        <v>194</v>
      </c>
      <c r="B8" s="16" t="s">
        <v>195</v>
      </c>
      <c r="C8" s="16" t="s">
        <v>2</v>
      </c>
      <c r="D8" s="25" t="s">
        <v>5</v>
      </c>
      <c r="E8" s="25" t="s">
        <v>196</v>
      </c>
      <c r="F8" s="16" t="s">
        <v>197</v>
      </c>
      <c r="G8" s="25" t="s">
        <v>198</v>
      </c>
      <c r="H8" s="16"/>
      <c r="I8" s="17"/>
    </row>
    <row r="9" spans="1:9" ht="18" customHeight="1">
      <c r="A9" s="32">
        <v>46069</v>
      </c>
      <c r="B9" s="28" t="s">
        <v>199</v>
      </c>
      <c r="C9" s="28" t="s">
        <v>130</v>
      </c>
      <c r="D9" s="29">
        <f>IFERROR(VLOOKUP(C9, Products!A:D, 4, FALSE), "")</f>
        <v>65</v>
      </c>
      <c r="E9" s="29">
        <v>3</v>
      </c>
      <c r="F9" s="28" t="s">
        <v>200</v>
      </c>
      <c r="G9" s="33">
        <f t="shared" ref="G9:G15" si="0">D9*E9</f>
        <v>195</v>
      </c>
      <c r="H9" s="16"/>
      <c r="I9" s="17"/>
    </row>
    <row r="10" spans="1:9" ht="18" customHeight="1">
      <c r="A10" s="32">
        <v>46069</v>
      </c>
      <c r="B10" s="28" t="s">
        <v>201</v>
      </c>
      <c r="C10" s="28" t="s">
        <v>154</v>
      </c>
      <c r="D10" s="29">
        <f>IFERROR(VLOOKUP(C10, Products!A:D, 4, FALSE), "")</f>
        <v>6</v>
      </c>
      <c r="E10" s="29">
        <v>1</v>
      </c>
      <c r="F10" s="28" t="s">
        <v>202</v>
      </c>
      <c r="G10" s="33">
        <f t="shared" si="0"/>
        <v>6</v>
      </c>
      <c r="H10" s="16"/>
      <c r="I10" s="17"/>
    </row>
    <row r="11" spans="1:9" ht="18" customHeight="1">
      <c r="A11" s="32">
        <v>46069</v>
      </c>
      <c r="B11" s="28" t="s">
        <v>201</v>
      </c>
      <c r="C11" s="28" t="s">
        <v>136</v>
      </c>
      <c r="D11" s="29">
        <f>IFERROR(VLOOKUP(C11, Products!A:D, 4, FALSE), "")</f>
        <v>22</v>
      </c>
      <c r="E11" s="29">
        <v>1</v>
      </c>
      <c r="F11" s="28" t="s">
        <v>203</v>
      </c>
      <c r="G11" s="33">
        <f t="shared" si="0"/>
        <v>22</v>
      </c>
      <c r="H11" s="16"/>
      <c r="I11" s="17"/>
    </row>
    <row r="12" spans="1:9" ht="18" customHeight="1">
      <c r="A12" s="32">
        <v>46069</v>
      </c>
      <c r="B12" s="28" t="s">
        <v>204</v>
      </c>
      <c r="C12" s="28" t="s">
        <v>139</v>
      </c>
      <c r="D12" s="29">
        <f>IFERROR(VLOOKUP(C12, Products!A:D, 4, FALSE), "")</f>
        <v>22</v>
      </c>
      <c r="E12" s="29">
        <v>2</v>
      </c>
      <c r="F12" s="28" t="s">
        <v>203</v>
      </c>
      <c r="G12" s="33">
        <f t="shared" si="0"/>
        <v>44</v>
      </c>
      <c r="H12" s="16"/>
      <c r="I12" s="17"/>
    </row>
    <row r="13" spans="1:9" ht="18" customHeight="1">
      <c r="A13" s="32">
        <v>46069</v>
      </c>
      <c r="B13" s="28" t="s">
        <v>205</v>
      </c>
      <c r="C13" s="28" t="s">
        <v>30</v>
      </c>
      <c r="D13" s="29">
        <f>IFERROR(VLOOKUP(C13, Products!A:D, 4, FALSE), "")</f>
        <v>38</v>
      </c>
      <c r="E13" s="29">
        <v>1</v>
      </c>
      <c r="F13" s="28" t="s">
        <v>200</v>
      </c>
      <c r="G13" s="33">
        <f t="shared" si="0"/>
        <v>38</v>
      </c>
      <c r="H13" s="16"/>
      <c r="I13" s="17"/>
    </row>
    <row r="14" spans="1:9" ht="18" customHeight="1">
      <c r="A14" s="32">
        <v>46069</v>
      </c>
      <c r="B14" s="28" t="s">
        <v>206</v>
      </c>
      <c r="C14" s="28" t="s">
        <v>38</v>
      </c>
      <c r="D14" s="29">
        <f>IFERROR(VLOOKUP(C14, Products!A:D, 4, FALSE), "")</f>
        <v>32</v>
      </c>
      <c r="E14" s="29">
        <v>1</v>
      </c>
      <c r="F14" s="28" t="s">
        <v>200</v>
      </c>
      <c r="G14" s="33">
        <f t="shared" si="0"/>
        <v>32</v>
      </c>
      <c r="H14" s="16"/>
      <c r="I14" s="17"/>
    </row>
    <row r="15" spans="1:9" ht="18" customHeight="1">
      <c r="A15" s="32">
        <v>46069</v>
      </c>
      <c r="B15" s="28" t="s">
        <v>207</v>
      </c>
      <c r="C15" s="28" t="s">
        <v>56</v>
      </c>
      <c r="D15" s="29">
        <f>IFERROR(VLOOKUP(C15, Products!A:D, 4, FALSE), "")</f>
        <v>22</v>
      </c>
      <c r="E15" s="29">
        <v>1</v>
      </c>
      <c r="F15" s="28" t="s">
        <v>200</v>
      </c>
      <c r="G15" s="33">
        <f t="shared" si="0"/>
        <v>22</v>
      </c>
      <c r="H15" s="16"/>
      <c r="I15" s="17"/>
    </row>
    <row r="16" spans="1:9" ht="18" customHeight="1">
      <c r="A16" s="16"/>
      <c r="B16" s="16"/>
      <c r="C16" s="16"/>
      <c r="D16" s="25"/>
      <c r="E16" s="25"/>
      <c r="F16" s="16"/>
      <c r="G16" s="25"/>
      <c r="H16" s="16"/>
      <c r="I16" s="17"/>
    </row>
    <row r="17" spans="1:9" ht="18" customHeight="1">
      <c r="A17" s="16"/>
      <c r="B17" s="16"/>
      <c r="C17" s="16"/>
      <c r="D17" s="25"/>
      <c r="E17" s="25"/>
      <c r="F17" s="16"/>
      <c r="G17" s="25"/>
      <c r="H17" s="16"/>
      <c r="I17" s="17"/>
    </row>
    <row r="18" spans="1:9" ht="18" customHeight="1">
      <c r="A18" s="16"/>
      <c r="B18" s="16"/>
      <c r="C18" s="16"/>
      <c r="D18" s="25"/>
      <c r="E18" s="25"/>
      <c r="F18" s="16"/>
      <c r="G18" s="25"/>
      <c r="H18" s="16"/>
      <c r="I18" s="17"/>
    </row>
    <row r="19" spans="1:9" ht="18" customHeight="1">
      <c r="A19" s="16"/>
      <c r="B19" s="16"/>
      <c r="C19" s="16"/>
      <c r="D19" s="25"/>
      <c r="E19" s="25"/>
      <c r="F19" s="16"/>
      <c r="G19" s="25"/>
      <c r="H19" s="16"/>
      <c r="I19" s="17"/>
    </row>
    <row r="20" spans="1:9" ht="18" customHeight="1">
      <c r="A20" s="16"/>
      <c r="B20" s="16"/>
      <c r="C20" s="16"/>
      <c r="D20" s="25"/>
      <c r="E20" s="25"/>
      <c r="F20" s="16"/>
      <c r="G20" s="25"/>
      <c r="H20" s="16"/>
      <c r="I20" s="17"/>
    </row>
    <row r="21" spans="1:9" ht="18" customHeight="1">
      <c r="A21" s="16"/>
      <c r="B21" s="16"/>
      <c r="C21" s="16"/>
      <c r="D21" s="25"/>
      <c r="E21" s="25"/>
      <c r="F21" s="16"/>
      <c r="G21" s="25"/>
      <c r="H21" s="16"/>
      <c r="I21" s="17"/>
    </row>
    <row r="22" spans="1:9" ht="18" customHeight="1">
      <c r="A22" s="16"/>
      <c r="B22" s="16"/>
      <c r="C22" s="16"/>
      <c r="D22" s="25"/>
      <c r="E22" s="25"/>
      <c r="F22" s="16"/>
      <c r="G22" s="25"/>
      <c r="H22" s="16"/>
      <c r="I22" s="17"/>
    </row>
    <row r="23" spans="1:9" ht="18" customHeight="1">
      <c r="A23" s="16"/>
      <c r="B23" s="16"/>
      <c r="C23" s="16"/>
      <c r="D23" s="25"/>
      <c r="E23" s="25"/>
      <c r="F23" s="16"/>
      <c r="G23" s="25"/>
      <c r="H23" s="16"/>
      <c r="I23" s="17"/>
    </row>
    <row r="24" spans="1:9" ht="18" customHeight="1">
      <c r="A24" s="16"/>
      <c r="B24" s="16"/>
      <c r="C24" s="16"/>
      <c r="D24" s="25"/>
      <c r="E24" s="25"/>
      <c r="F24" s="16"/>
      <c r="G24" s="25"/>
      <c r="H24" s="16"/>
      <c r="I24" s="17"/>
    </row>
    <row r="25" spans="1:9" ht="18" customHeight="1">
      <c r="A25" s="16"/>
      <c r="B25" s="16"/>
      <c r="C25" s="16"/>
      <c r="D25" s="25"/>
      <c r="E25" s="25"/>
      <c r="F25" s="16"/>
      <c r="G25" s="25"/>
      <c r="H25" s="16"/>
      <c r="I25" s="17"/>
    </row>
    <row r="26" spans="1:9" ht="18" customHeight="1">
      <c r="A26" s="16"/>
      <c r="B26" s="16"/>
      <c r="C26" s="16"/>
      <c r="D26" s="25"/>
      <c r="E26" s="25"/>
      <c r="F26" s="16"/>
      <c r="G26" s="25"/>
      <c r="H26" s="16"/>
      <c r="I26" s="17"/>
    </row>
    <row r="27" spans="1:9" ht="18" customHeight="1">
      <c r="A27" s="16"/>
      <c r="B27" s="16"/>
      <c r="C27" s="16"/>
      <c r="D27" s="25"/>
      <c r="E27" s="25"/>
      <c r="F27" s="16"/>
      <c r="G27" s="25"/>
      <c r="H27" s="16"/>
      <c r="I27" s="17"/>
    </row>
    <row r="28" spans="1:9" ht="18" customHeight="1">
      <c r="A28" s="16"/>
      <c r="B28" s="16"/>
      <c r="C28" s="16"/>
      <c r="D28" s="25"/>
      <c r="E28" s="25"/>
      <c r="F28" s="16"/>
      <c r="G28" s="25"/>
      <c r="H28" s="16"/>
      <c r="I28" s="17"/>
    </row>
    <row r="29" spans="1:9" ht="18" customHeight="1">
      <c r="A29" s="16"/>
      <c r="B29" s="16"/>
      <c r="C29" s="16"/>
      <c r="D29" s="25"/>
      <c r="E29" s="25"/>
      <c r="F29" s="16"/>
      <c r="G29" s="25"/>
      <c r="H29" s="16"/>
      <c r="I29" s="17"/>
    </row>
    <row r="30" spans="1:9" ht="18" customHeight="1">
      <c r="A30" s="16"/>
      <c r="B30" s="16"/>
      <c r="C30" s="16"/>
      <c r="D30" s="25"/>
      <c r="E30" s="25"/>
      <c r="F30" s="16"/>
      <c r="G30" s="25"/>
      <c r="H30" s="16"/>
      <c r="I30" s="17"/>
    </row>
    <row r="31" spans="1:9" ht="18" customHeight="1">
      <c r="A31" s="16"/>
      <c r="B31" s="16"/>
      <c r="C31" s="16"/>
      <c r="D31" s="25"/>
      <c r="E31" s="25"/>
      <c r="F31" s="16"/>
      <c r="G31" s="25"/>
      <c r="H31" s="16"/>
      <c r="I31" s="17"/>
    </row>
    <row r="32" spans="1:9" ht="18" customHeight="1">
      <c r="A32" s="16"/>
      <c r="B32" s="16"/>
      <c r="C32" s="16"/>
      <c r="D32" s="25"/>
      <c r="E32" s="25"/>
      <c r="F32" s="16"/>
      <c r="G32" s="25"/>
      <c r="H32" s="16"/>
      <c r="I32" s="17"/>
    </row>
    <row r="33" spans="1:9" ht="18" customHeight="1">
      <c r="A33" s="16"/>
      <c r="B33" s="16"/>
      <c r="C33" s="16"/>
      <c r="D33" s="25"/>
      <c r="E33" s="25"/>
      <c r="F33" s="16"/>
      <c r="G33" s="25"/>
      <c r="H33" s="16"/>
      <c r="I33" s="17"/>
    </row>
    <row r="34" spans="1:9" ht="18" customHeight="1">
      <c r="A34" s="16"/>
      <c r="B34" s="16"/>
      <c r="C34" s="16"/>
      <c r="D34" s="25"/>
      <c r="E34" s="25"/>
      <c r="F34" s="16"/>
      <c r="G34" s="25"/>
      <c r="H34" s="16"/>
      <c r="I34" s="17"/>
    </row>
    <row r="35" spans="1:9" ht="18" customHeight="1">
      <c r="A35" s="16"/>
      <c r="B35" s="16"/>
      <c r="C35" s="16"/>
      <c r="D35" s="25"/>
      <c r="E35" s="25"/>
      <c r="F35" s="16"/>
      <c r="G35" s="25"/>
      <c r="H35" s="16"/>
      <c r="I35" s="17"/>
    </row>
    <row r="36" spans="1:9" ht="18" customHeight="1">
      <c r="A36" s="16"/>
      <c r="B36" s="16"/>
      <c r="C36" s="16"/>
      <c r="D36" s="25"/>
      <c r="E36" s="25"/>
      <c r="F36" s="16"/>
      <c r="G36" s="25"/>
      <c r="H36" s="16"/>
      <c r="I36" s="17"/>
    </row>
    <row r="37" spans="1:9" ht="18" customHeight="1">
      <c r="A37" s="16"/>
      <c r="B37" s="16"/>
      <c r="C37" s="16"/>
      <c r="D37" s="25"/>
      <c r="E37" s="25"/>
      <c r="F37" s="16"/>
      <c r="G37" s="25"/>
      <c r="H37" s="16"/>
      <c r="I37" s="17"/>
    </row>
    <row r="38" spans="1:9" ht="18" customHeight="1">
      <c r="A38" s="16"/>
      <c r="B38" s="16"/>
      <c r="C38" s="16"/>
      <c r="D38" s="25"/>
      <c r="E38" s="25"/>
      <c r="F38" s="16"/>
      <c r="G38" s="25"/>
      <c r="H38" s="16"/>
      <c r="I38" s="17"/>
    </row>
    <row r="39" spans="1:9" ht="18" customHeight="1">
      <c r="A39" s="16"/>
      <c r="B39" s="16"/>
      <c r="C39" s="16"/>
      <c r="D39" s="25"/>
      <c r="E39" s="25"/>
      <c r="F39" s="16"/>
      <c r="G39" s="25"/>
      <c r="H39" s="16"/>
      <c r="I39" s="17"/>
    </row>
    <row r="40" spans="1:9" ht="18" customHeight="1">
      <c r="A40" s="16"/>
      <c r="B40" s="16"/>
      <c r="C40" s="16"/>
      <c r="D40" s="25"/>
      <c r="E40" s="25"/>
      <c r="F40" s="16"/>
      <c r="G40" s="25"/>
      <c r="H40" s="16"/>
      <c r="I40" s="17"/>
    </row>
    <row r="41" spans="1:9" ht="18" customHeight="1">
      <c r="A41" s="16"/>
      <c r="B41" s="16"/>
      <c r="C41" s="16"/>
      <c r="D41" s="25"/>
      <c r="E41" s="25"/>
      <c r="F41" s="16"/>
      <c r="G41" s="25"/>
      <c r="H41" s="16"/>
      <c r="I41" s="17"/>
    </row>
    <row r="42" spans="1:9" ht="18" customHeight="1">
      <c r="A42" s="16"/>
      <c r="B42" s="16"/>
      <c r="C42" s="16"/>
      <c r="D42" s="25"/>
      <c r="E42" s="25"/>
      <c r="F42" s="16"/>
      <c r="G42" s="25"/>
      <c r="H42" s="16"/>
      <c r="I42" s="17"/>
    </row>
    <row r="43" spans="1:9" ht="18" customHeight="1">
      <c r="A43" s="16"/>
      <c r="B43" s="16"/>
      <c r="C43" s="16"/>
      <c r="D43" s="25"/>
      <c r="E43" s="25"/>
      <c r="F43" s="16"/>
      <c r="G43" s="25"/>
      <c r="H43" s="16"/>
      <c r="I43" s="17"/>
    </row>
    <row r="44" spans="1:9" ht="18" customHeight="1">
      <c r="A44" s="16"/>
      <c r="B44" s="16"/>
      <c r="C44" s="16"/>
      <c r="D44" s="25"/>
      <c r="E44" s="25"/>
      <c r="F44" s="16"/>
      <c r="G44" s="25"/>
      <c r="H44" s="16"/>
      <c r="I44" s="17"/>
    </row>
    <row r="45" spans="1:9" ht="18" customHeight="1">
      <c r="A45" s="16"/>
      <c r="B45" s="16"/>
      <c r="C45" s="16"/>
      <c r="D45" s="25"/>
      <c r="E45" s="25"/>
      <c r="F45" s="16"/>
      <c r="G45" s="25"/>
      <c r="H45" s="16"/>
      <c r="I45" s="17"/>
    </row>
    <row r="46" spans="1:9" ht="18" customHeight="1">
      <c r="A46" s="16"/>
      <c r="B46" s="16"/>
      <c r="C46" s="16"/>
      <c r="D46" s="25"/>
      <c r="E46" s="25"/>
      <c r="F46" s="16"/>
      <c r="G46" s="25"/>
      <c r="H46" s="16"/>
      <c r="I46" s="17"/>
    </row>
    <row r="47" spans="1:9" ht="18" customHeight="1">
      <c r="A47" s="16"/>
      <c r="B47" s="16"/>
      <c r="C47" s="16"/>
      <c r="D47" s="25"/>
      <c r="E47" s="25"/>
      <c r="F47" s="16"/>
      <c r="G47" s="25"/>
      <c r="H47" s="16"/>
      <c r="I47" s="17"/>
    </row>
    <row r="48" spans="1:9" ht="18" customHeight="1">
      <c r="A48" s="16"/>
      <c r="B48" s="16"/>
      <c r="C48" s="16"/>
      <c r="D48" s="25"/>
      <c r="E48" s="25"/>
      <c r="F48" s="16"/>
      <c r="G48" s="25"/>
      <c r="H48" s="16"/>
      <c r="I48" s="17"/>
    </row>
    <row r="49" spans="1:9" ht="18" customHeight="1">
      <c r="A49" s="16"/>
      <c r="B49" s="16"/>
      <c r="C49" s="16"/>
      <c r="D49" s="25"/>
      <c r="E49" s="25"/>
      <c r="F49" s="16"/>
      <c r="G49" s="25"/>
      <c r="H49" s="16"/>
      <c r="I49" s="17"/>
    </row>
    <row r="50" spans="1:9" ht="18" customHeight="1">
      <c r="A50" s="16"/>
      <c r="B50" s="16"/>
      <c r="C50" s="16"/>
      <c r="D50" s="25"/>
      <c r="E50" s="25"/>
      <c r="F50" s="16"/>
      <c r="G50" s="25"/>
      <c r="H50" s="16"/>
      <c r="I50" s="17"/>
    </row>
    <row r="51" spans="1:9" ht="18" customHeight="1">
      <c r="A51" s="16"/>
      <c r="B51" s="16"/>
      <c r="C51" s="16"/>
      <c r="D51" s="25"/>
      <c r="E51" s="25"/>
      <c r="F51" s="16"/>
      <c r="G51" s="25"/>
      <c r="H51" s="16"/>
      <c r="I51" s="17"/>
    </row>
    <row r="52" spans="1:9" ht="18" customHeight="1">
      <c r="A52" s="16"/>
      <c r="B52" s="16"/>
      <c r="C52" s="16"/>
      <c r="D52" s="25"/>
      <c r="E52" s="25"/>
      <c r="F52" s="16"/>
      <c r="G52" s="25"/>
      <c r="H52" s="16"/>
      <c r="I52" s="17"/>
    </row>
    <row r="53" spans="1:9" ht="18" customHeight="1">
      <c r="A53" s="16"/>
      <c r="B53" s="16"/>
      <c r="C53" s="16"/>
      <c r="D53" s="25"/>
      <c r="E53" s="25"/>
      <c r="F53" s="16"/>
      <c r="G53" s="25"/>
      <c r="H53" s="16"/>
      <c r="I53" s="17"/>
    </row>
    <row r="54" spans="1:9" ht="18" customHeight="1">
      <c r="A54" s="16"/>
      <c r="B54" s="16"/>
      <c r="C54" s="16"/>
      <c r="D54" s="25"/>
      <c r="E54" s="25"/>
      <c r="F54" s="16"/>
      <c r="G54" s="25"/>
      <c r="H54" s="16"/>
      <c r="I54" s="17"/>
    </row>
    <row r="55" spans="1:9" ht="18" customHeight="1">
      <c r="A55" s="16"/>
      <c r="B55" s="16"/>
      <c r="C55" s="16"/>
      <c r="D55" s="25"/>
      <c r="E55" s="25"/>
      <c r="F55" s="16"/>
      <c r="G55" s="25"/>
      <c r="H55" s="16"/>
      <c r="I55" s="17"/>
    </row>
    <row r="56" spans="1:9" ht="18" customHeight="1">
      <c r="A56" s="16"/>
      <c r="B56" s="16"/>
      <c r="C56" s="16"/>
      <c r="D56" s="25"/>
      <c r="E56" s="25"/>
      <c r="F56" s="16"/>
      <c r="G56" s="25"/>
      <c r="H56" s="16"/>
      <c r="I56" s="17"/>
    </row>
    <row r="57" spans="1:9" ht="18" customHeight="1">
      <c r="A57" s="16"/>
      <c r="B57" s="16"/>
      <c r="C57" s="16"/>
      <c r="D57" s="25"/>
      <c r="E57" s="25"/>
      <c r="F57" s="16"/>
      <c r="G57" s="25"/>
      <c r="H57" s="16"/>
      <c r="I57" s="17"/>
    </row>
    <row r="58" spans="1:9" ht="18" customHeight="1">
      <c r="A58" s="16"/>
      <c r="B58" s="16"/>
      <c r="C58" s="16"/>
      <c r="D58" s="25"/>
      <c r="E58" s="25"/>
      <c r="F58" s="16"/>
      <c r="G58" s="25"/>
      <c r="H58" s="16"/>
      <c r="I58" s="17"/>
    </row>
    <row r="59" spans="1:9" ht="18" customHeight="1">
      <c r="A59" s="16"/>
      <c r="B59" s="16"/>
      <c r="C59" s="16"/>
      <c r="D59" s="25"/>
      <c r="E59" s="25"/>
      <c r="F59" s="16"/>
      <c r="G59" s="25"/>
      <c r="H59" s="16"/>
      <c r="I59" s="17"/>
    </row>
    <row r="60" spans="1:9" ht="18" customHeight="1">
      <c r="A60" s="16"/>
      <c r="B60" s="16"/>
      <c r="C60" s="16"/>
      <c r="D60" s="25"/>
      <c r="E60" s="25"/>
      <c r="F60" s="16"/>
      <c r="G60" s="25"/>
      <c r="H60" s="16"/>
      <c r="I60" s="17"/>
    </row>
    <row r="61" spans="1:9" ht="18" customHeight="1">
      <c r="A61" s="16"/>
      <c r="B61" s="16"/>
      <c r="C61" s="16"/>
      <c r="D61" s="25"/>
      <c r="E61" s="25"/>
      <c r="F61" s="16"/>
      <c r="G61" s="25"/>
      <c r="H61" s="16"/>
      <c r="I61" s="17"/>
    </row>
    <row r="62" spans="1:9" ht="18" customHeight="1">
      <c r="A62" s="16"/>
      <c r="B62" s="16"/>
      <c r="C62" s="16"/>
      <c r="D62" s="25"/>
      <c r="E62" s="25"/>
      <c r="F62" s="16"/>
      <c r="G62" s="25"/>
      <c r="H62" s="16"/>
      <c r="I62" s="17"/>
    </row>
    <row r="63" spans="1:9" ht="18" customHeight="1">
      <c r="A63" s="16"/>
      <c r="B63" s="16"/>
      <c r="C63" s="16"/>
      <c r="D63" s="25"/>
      <c r="E63" s="25"/>
      <c r="F63" s="16"/>
      <c r="G63" s="25"/>
      <c r="H63" s="16"/>
      <c r="I63" s="17"/>
    </row>
    <row r="64" spans="1:9" ht="18" customHeight="1">
      <c r="A64" s="16"/>
      <c r="B64" s="16"/>
      <c r="C64" s="16"/>
      <c r="D64" s="25"/>
      <c r="E64" s="25"/>
      <c r="F64" s="16"/>
      <c r="G64" s="25"/>
      <c r="H64" s="16"/>
      <c r="I64" s="17"/>
    </row>
    <row r="65" spans="1:9" ht="18" customHeight="1">
      <c r="A65" s="16"/>
      <c r="B65" s="16"/>
      <c r="C65" s="16"/>
      <c r="D65" s="25"/>
      <c r="E65" s="25"/>
      <c r="F65" s="16"/>
      <c r="G65" s="25"/>
      <c r="H65" s="16"/>
      <c r="I65" s="17"/>
    </row>
    <row r="66" spans="1:9" ht="18" customHeight="1">
      <c r="A66" s="16"/>
      <c r="B66" s="16"/>
      <c r="C66" s="16"/>
      <c r="D66" s="25"/>
      <c r="E66" s="25"/>
      <c r="F66" s="16"/>
      <c r="G66" s="25"/>
      <c r="H66" s="16"/>
      <c r="I66" s="17"/>
    </row>
    <row r="67" spans="1:9" ht="18" customHeight="1">
      <c r="A67" s="16"/>
      <c r="B67" s="16"/>
      <c r="C67" s="16"/>
      <c r="D67" s="25"/>
      <c r="E67" s="25"/>
      <c r="F67" s="16"/>
      <c r="G67" s="25"/>
      <c r="H67" s="16"/>
      <c r="I67" s="17"/>
    </row>
    <row r="68" spans="1:9" ht="18" customHeight="1">
      <c r="A68" s="16"/>
      <c r="B68" s="16"/>
      <c r="C68" s="16"/>
      <c r="D68" s="25"/>
      <c r="E68" s="25"/>
      <c r="F68" s="16"/>
      <c r="G68" s="25"/>
      <c r="H68" s="16"/>
      <c r="I68" s="17"/>
    </row>
    <row r="69" spans="1:9" ht="18" customHeight="1">
      <c r="A69" s="16"/>
      <c r="B69" s="16"/>
      <c r="C69" s="16"/>
      <c r="D69" s="25"/>
      <c r="E69" s="25"/>
      <c r="F69" s="16"/>
      <c r="G69" s="25"/>
      <c r="H69" s="16"/>
      <c r="I69" s="17"/>
    </row>
    <row r="70" spans="1:9" ht="18" customHeight="1">
      <c r="A70" s="16"/>
      <c r="B70" s="16"/>
      <c r="C70" s="16"/>
      <c r="D70" s="25"/>
      <c r="E70" s="25"/>
      <c r="F70" s="16"/>
      <c r="G70" s="25"/>
      <c r="H70" s="16"/>
      <c r="I70" s="17"/>
    </row>
    <row r="71" spans="1:9" ht="18" customHeight="1">
      <c r="A71" s="16"/>
      <c r="B71" s="16"/>
      <c r="C71" s="16"/>
      <c r="D71" s="25"/>
      <c r="E71" s="25"/>
      <c r="F71" s="16"/>
      <c r="G71" s="25"/>
      <c r="H71" s="16"/>
      <c r="I71" s="17"/>
    </row>
    <row r="72" spans="1:9" ht="18" customHeight="1">
      <c r="A72" s="16"/>
      <c r="B72" s="16"/>
      <c r="C72" s="16"/>
      <c r="D72" s="25"/>
      <c r="E72" s="25"/>
      <c r="F72" s="16"/>
      <c r="G72" s="25"/>
      <c r="H72" s="16"/>
      <c r="I72" s="17"/>
    </row>
    <row r="73" spans="1:9" ht="18" customHeight="1">
      <c r="A73" s="16"/>
      <c r="B73" s="16"/>
      <c r="C73" s="16"/>
      <c r="D73" s="25"/>
      <c r="E73" s="25"/>
      <c r="F73" s="16"/>
      <c r="G73" s="25"/>
      <c r="H73" s="16"/>
      <c r="I73" s="17"/>
    </row>
    <row r="74" spans="1:9" ht="18" customHeight="1">
      <c r="A74" s="16"/>
      <c r="B74" s="16"/>
      <c r="C74" s="16"/>
      <c r="D74" s="25"/>
      <c r="E74" s="25"/>
      <c r="F74" s="16"/>
      <c r="G74" s="25"/>
      <c r="H74" s="16"/>
      <c r="I74" s="17"/>
    </row>
    <row r="75" spans="1:9" ht="18" customHeight="1">
      <c r="A75" s="16"/>
      <c r="B75" s="16"/>
      <c r="C75" s="16"/>
      <c r="D75" s="25"/>
      <c r="E75" s="25"/>
      <c r="F75" s="16"/>
      <c r="G75" s="25"/>
      <c r="H75" s="16"/>
      <c r="I75" s="17"/>
    </row>
    <row r="76" spans="1:9" ht="18" customHeight="1">
      <c r="A76" s="16"/>
      <c r="B76" s="16"/>
      <c r="C76" s="16"/>
      <c r="D76" s="25"/>
      <c r="E76" s="25"/>
      <c r="F76" s="16"/>
      <c r="G76" s="25"/>
      <c r="H76" s="16"/>
      <c r="I76" s="17"/>
    </row>
    <row r="77" spans="1:9" ht="18" customHeight="1">
      <c r="A77" s="16"/>
      <c r="B77" s="16"/>
      <c r="C77" s="16"/>
      <c r="D77" s="25"/>
      <c r="E77" s="25"/>
      <c r="F77" s="16"/>
      <c r="G77" s="25"/>
      <c r="H77" s="16"/>
      <c r="I77" s="17"/>
    </row>
    <row r="78" spans="1:9" ht="18" customHeight="1">
      <c r="A78" s="16"/>
      <c r="B78" s="16"/>
      <c r="C78" s="16"/>
      <c r="D78" s="25"/>
      <c r="E78" s="25"/>
      <c r="F78" s="16"/>
      <c r="G78" s="25"/>
      <c r="H78" s="16"/>
      <c r="I78" s="17"/>
    </row>
    <row r="79" spans="1:9" ht="18" customHeight="1">
      <c r="A79" s="16"/>
      <c r="B79" s="16"/>
      <c r="C79" s="16"/>
      <c r="D79" s="25"/>
      <c r="E79" s="25"/>
      <c r="F79" s="16"/>
      <c r="G79" s="25"/>
      <c r="H79" s="16"/>
      <c r="I79" s="17"/>
    </row>
    <row r="80" spans="1:9" ht="18" customHeight="1">
      <c r="A80" s="16"/>
      <c r="B80" s="16"/>
      <c r="C80" s="16"/>
      <c r="D80" s="25"/>
      <c r="E80" s="25"/>
      <c r="F80" s="16"/>
      <c r="G80" s="25"/>
      <c r="H80" s="16"/>
      <c r="I80" s="17"/>
    </row>
    <row r="81" spans="1:9" ht="18" customHeight="1">
      <c r="A81" s="16"/>
      <c r="B81" s="16"/>
      <c r="C81" s="16"/>
      <c r="D81" s="25"/>
      <c r="E81" s="25"/>
      <c r="F81" s="16"/>
      <c r="G81" s="25"/>
      <c r="H81" s="16"/>
      <c r="I81" s="17"/>
    </row>
    <row r="82" spans="1:9" ht="18" customHeight="1">
      <c r="A82" s="16"/>
      <c r="B82" s="16"/>
      <c r="C82" s="16"/>
      <c r="D82" s="25"/>
      <c r="E82" s="25"/>
      <c r="F82" s="16"/>
      <c r="G82" s="25"/>
      <c r="H82" s="16"/>
      <c r="I82" s="17"/>
    </row>
    <row r="83" spans="1:9" ht="18" customHeight="1">
      <c r="A83" s="16"/>
      <c r="B83" s="16"/>
      <c r="C83" s="16"/>
      <c r="D83" s="25"/>
      <c r="E83" s="25"/>
      <c r="F83" s="16"/>
      <c r="G83" s="25"/>
      <c r="H83" s="16"/>
      <c r="I83" s="17"/>
    </row>
    <row r="84" spans="1:9" ht="18" customHeight="1">
      <c r="A84" s="16"/>
      <c r="B84" s="16"/>
      <c r="C84" s="16"/>
      <c r="D84" s="25"/>
      <c r="E84" s="25"/>
      <c r="F84" s="16"/>
      <c r="G84" s="25"/>
      <c r="H84" s="16"/>
      <c r="I84" s="17"/>
    </row>
    <row r="85" spans="1:9" ht="18" customHeight="1">
      <c r="A85" s="16"/>
      <c r="B85" s="16"/>
      <c r="C85" s="16"/>
      <c r="D85" s="25"/>
      <c r="E85" s="25"/>
      <c r="F85" s="16"/>
      <c r="G85" s="25"/>
      <c r="H85" s="16"/>
      <c r="I85" s="17"/>
    </row>
    <row r="86" spans="1:9" ht="18" customHeight="1">
      <c r="A86" s="16"/>
      <c r="B86" s="16"/>
      <c r="C86" s="16"/>
      <c r="D86" s="25"/>
      <c r="E86" s="25"/>
      <c r="F86" s="16"/>
      <c r="G86" s="25"/>
      <c r="H86" s="16"/>
      <c r="I86" s="17"/>
    </row>
    <row r="87" spans="1:9" ht="18" customHeight="1">
      <c r="A87" s="16"/>
      <c r="B87" s="16"/>
      <c r="C87" s="16"/>
      <c r="D87" s="25"/>
      <c r="E87" s="25"/>
      <c r="F87" s="16"/>
      <c r="G87" s="25"/>
      <c r="H87" s="16"/>
      <c r="I87" s="17"/>
    </row>
    <row r="88" spans="1:9" ht="18" customHeight="1">
      <c r="A88" s="16"/>
      <c r="B88" s="16"/>
      <c r="C88" s="16"/>
      <c r="D88" s="25"/>
      <c r="E88" s="25"/>
      <c r="F88" s="16"/>
      <c r="G88" s="25"/>
      <c r="H88" s="16"/>
      <c r="I88" s="17"/>
    </row>
    <row r="89" spans="1:9" ht="18" customHeight="1">
      <c r="A89" s="16"/>
      <c r="B89" s="16"/>
      <c r="C89" s="16"/>
      <c r="D89" s="25"/>
      <c r="E89" s="25"/>
      <c r="F89" s="16"/>
      <c r="G89" s="25"/>
      <c r="H89" s="16"/>
      <c r="I89" s="17"/>
    </row>
    <row r="90" spans="1:9" ht="18" customHeight="1">
      <c r="A90" s="16"/>
      <c r="B90" s="16"/>
      <c r="C90" s="16"/>
      <c r="D90" s="25"/>
      <c r="E90" s="25"/>
      <c r="F90" s="16"/>
      <c r="G90" s="25"/>
      <c r="H90" s="16"/>
      <c r="I90" s="17"/>
    </row>
    <row r="91" spans="1:9" ht="18" customHeight="1">
      <c r="A91" s="16"/>
      <c r="B91" s="16"/>
      <c r="C91" s="16"/>
      <c r="D91" s="25"/>
      <c r="E91" s="25"/>
      <c r="F91" s="16"/>
      <c r="G91" s="25"/>
      <c r="H91" s="16"/>
      <c r="I91" s="17"/>
    </row>
    <row r="92" spans="1:9" ht="18" customHeight="1">
      <c r="A92" s="16"/>
      <c r="B92" s="16"/>
      <c r="C92" s="16"/>
      <c r="D92" s="25"/>
      <c r="E92" s="25"/>
      <c r="F92" s="16"/>
      <c r="G92" s="25"/>
      <c r="H92" s="16"/>
      <c r="I92" s="17"/>
    </row>
    <row r="93" spans="1:9" ht="18" customHeight="1">
      <c r="A93" s="16"/>
      <c r="B93" s="16"/>
      <c r="C93" s="16"/>
      <c r="D93" s="25"/>
      <c r="E93" s="25"/>
      <c r="F93" s="16"/>
      <c r="G93" s="25"/>
      <c r="H93" s="16"/>
      <c r="I93" s="17"/>
    </row>
    <row r="94" spans="1:9" ht="18" customHeight="1">
      <c r="A94" s="16"/>
      <c r="B94" s="16"/>
      <c r="C94" s="16"/>
      <c r="D94" s="25"/>
      <c r="E94" s="25"/>
      <c r="F94" s="16"/>
      <c r="G94" s="25"/>
      <c r="H94" s="16"/>
      <c r="I94" s="17"/>
    </row>
    <row r="95" spans="1:9" ht="18" customHeight="1">
      <c r="A95" s="16"/>
      <c r="B95" s="16"/>
      <c r="C95" s="16"/>
      <c r="D95" s="25"/>
      <c r="E95" s="25"/>
      <c r="F95" s="16"/>
      <c r="G95" s="25"/>
      <c r="H95" s="16"/>
      <c r="I95" s="17"/>
    </row>
    <row r="96" spans="1:9" ht="18" customHeight="1">
      <c r="A96" s="16"/>
      <c r="B96" s="16"/>
      <c r="C96" s="16"/>
      <c r="D96" s="25"/>
      <c r="E96" s="25"/>
      <c r="F96" s="16"/>
      <c r="G96" s="25"/>
      <c r="H96" s="16"/>
      <c r="I96" s="17"/>
    </row>
    <row r="97" spans="1:9" ht="18" customHeight="1">
      <c r="A97" s="16"/>
      <c r="B97" s="16"/>
      <c r="C97" s="16"/>
      <c r="D97" s="25"/>
      <c r="E97" s="25"/>
      <c r="F97" s="16"/>
      <c r="G97" s="25"/>
      <c r="H97" s="16"/>
      <c r="I97" s="17"/>
    </row>
    <row r="98" spans="1:9" ht="18" customHeight="1">
      <c r="A98" s="16"/>
      <c r="B98" s="16"/>
      <c r="C98" s="16"/>
      <c r="D98" s="25"/>
      <c r="E98" s="25"/>
      <c r="F98" s="16"/>
      <c r="G98" s="25"/>
      <c r="H98" s="16"/>
      <c r="I98" s="17"/>
    </row>
    <row r="99" spans="1:9" ht="18" customHeight="1">
      <c r="A99" s="16"/>
      <c r="B99" s="16"/>
      <c r="C99" s="16"/>
      <c r="D99" s="25"/>
      <c r="E99" s="25"/>
      <c r="F99" s="16"/>
      <c r="G99" s="25"/>
      <c r="H99" s="16"/>
      <c r="I99" s="17"/>
    </row>
    <row r="100" spans="1:9" ht="18" customHeight="1">
      <c r="A100" s="16"/>
      <c r="B100" s="16"/>
      <c r="C100" s="16"/>
      <c r="D100" s="25"/>
      <c r="E100" s="25"/>
      <c r="F100" s="16"/>
      <c r="G100" s="25"/>
      <c r="H100" s="16"/>
      <c r="I100" s="17"/>
    </row>
    <row r="101" spans="1:9" ht="18" customHeight="1">
      <c r="A101" s="16"/>
      <c r="B101" s="16"/>
      <c r="C101" s="16"/>
      <c r="D101" s="25"/>
      <c r="E101" s="25"/>
      <c r="F101" s="16"/>
      <c r="G101" s="25"/>
      <c r="H101" s="16"/>
      <c r="I101" s="17"/>
    </row>
    <row r="102" spans="1:9" ht="18" customHeight="1">
      <c r="A102" s="16"/>
      <c r="B102" s="16"/>
      <c r="C102" s="16"/>
      <c r="D102" s="25"/>
      <c r="E102" s="25"/>
      <c r="F102" s="16"/>
      <c r="G102" s="25"/>
      <c r="H102" s="16"/>
      <c r="I102" s="17"/>
    </row>
    <row r="103" spans="1:9" ht="18" customHeight="1">
      <c r="A103" s="16"/>
      <c r="B103" s="16"/>
      <c r="C103" s="16"/>
      <c r="D103" s="25"/>
      <c r="E103" s="25"/>
      <c r="F103" s="16"/>
      <c r="G103" s="25"/>
      <c r="H103" s="16"/>
      <c r="I103" s="17"/>
    </row>
    <row r="104" spans="1:9" ht="18" customHeight="1">
      <c r="A104" s="16"/>
      <c r="B104" s="16"/>
      <c r="C104" s="16"/>
      <c r="D104" s="25"/>
      <c r="E104" s="25"/>
      <c r="F104" s="16"/>
      <c r="G104" s="25"/>
      <c r="H104" s="16"/>
      <c r="I104" s="17"/>
    </row>
    <row r="105" spans="1:9" ht="18" customHeight="1">
      <c r="A105" s="16"/>
      <c r="B105" s="16"/>
      <c r="C105" s="16"/>
      <c r="D105" s="25"/>
      <c r="E105" s="25"/>
      <c r="F105" s="16"/>
      <c r="G105" s="25"/>
      <c r="H105" s="16"/>
      <c r="I105" s="17"/>
    </row>
    <row r="106" spans="1:9" ht="18" customHeight="1">
      <c r="A106" s="16"/>
      <c r="B106" s="16"/>
      <c r="C106" s="16"/>
      <c r="D106" s="25"/>
      <c r="E106" s="25"/>
      <c r="F106" s="16"/>
      <c r="G106" s="25"/>
      <c r="H106" s="16"/>
      <c r="I106" s="17"/>
    </row>
    <row r="107" spans="1:9" ht="18" customHeight="1">
      <c r="A107" s="16"/>
      <c r="B107" s="16"/>
      <c r="C107" s="16"/>
      <c r="D107" s="25"/>
      <c r="E107" s="25"/>
      <c r="F107" s="16"/>
      <c r="G107" s="25"/>
      <c r="H107" s="16"/>
      <c r="I107" s="17"/>
    </row>
    <row r="108" spans="1:9" ht="18" customHeight="1">
      <c r="A108" s="16"/>
      <c r="B108" s="16"/>
      <c r="C108" s="16"/>
      <c r="D108" s="25"/>
      <c r="E108" s="25"/>
      <c r="F108" s="16"/>
      <c r="G108" s="25"/>
      <c r="H108" s="16"/>
      <c r="I108" s="17"/>
    </row>
    <row r="109" spans="1:9" ht="18" customHeight="1">
      <c r="A109" s="16"/>
      <c r="B109" s="16"/>
      <c r="C109" s="16"/>
      <c r="D109" s="25"/>
      <c r="E109" s="25"/>
      <c r="F109" s="16"/>
      <c r="G109" s="25"/>
      <c r="H109" s="16"/>
      <c r="I109" s="17"/>
    </row>
    <row r="110" spans="1:9" ht="18" customHeight="1">
      <c r="A110" s="16"/>
      <c r="B110" s="16"/>
      <c r="C110" s="16"/>
      <c r="D110" s="25"/>
      <c r="E110" s="25"/>
      <c r="F110" s="16"/>
      <c r="G110" s="25"/>
      <c r="H110" s="16"/>
      <c r="I110" s="17"/>
    </row>
    <row r="111" spans="1:9" ht="18" customHeight="1">
      <c r="A111" s="16"/>
      <c r="B111" s="16"/>
      <c r="C111" s="16"/>
      <c r="D111" s="25"/>
      <c r="E111" s="25"/>
      <c r="F111" s="16"/>
      <c r="G111" s="25"/>
      <c r="H111" s="16"/>
      <c r="I111" s="17"/>
    </row>
    <row r="112" spans="1:9" ht="18" customHeight="1">
      <c r="A112" s="16"/>
      <c r="B112" s="16"/>
      <c r="C112" s="16"/>
      <c r="D112" s="25"/>
      <c r="E112" s="25"/>
      <c r="F112" s="16"/>
      <c r="G112" s="25"/>
      <c r="H112" s="16"/>
      <c r="I112" s="17"/>
    </row>
    <row r="113" spans="1:9" ht="18" customHeight="1">
      <c r="A113" s="16"/>
      <c r="B113" s="16"/>
      <c r="C113" s="16"/>
      <c r="D113" s="25"/>
      <c r="E113" s="25"/>
      <c r="F113" s="16"/>
      <c r="G113" s="25"/>
      <c r="H113" s="16"/>
      <c r="I113" s="17"/>
    </row>
    <row r="114" spans="1:9" ht="18" customHeight="1">
      <c r="A114" s="16"/>
      <c r="B114" s="16"/>
      <c r="C114" s="16"/>
      <c r="D114" s="25"/>
      <c r="E114" s="25"/>
      <c r="F114" s="16"/>
      <c r="G114" s="25"/>
      <c r="H114" s="16"/>
      <c r="I114" s="17"/>
    </row>
    <row r="115" spans="1:9" ht="18" customHeight="1">
      <c r="A115" s="16"/>
      <c r="B115" s="16"/>
      <c r="C115" s="16"/>
      <c r="D115" s="25"/>
      <c r="E115" s="25"/>
      <c r="F115" s="16"/>
      <c r="G115" s="25"/>
      <c r="H115" s="16"/>
      <c r="I115" s="17"/>
    </row>
    <row r="116" spans="1:9" ht="18" customHeight="1">
      <c r="A116" s="16"/>
      <c r="B116" s="16"/>
      <c r="C116" s="16"/>
      <c r="D116" s="25"/>
      <c r="E116" s="25"/>
      <c r="F116" s="16"/>
      <c r="G116" s="25"/>
      <c r="H116" s="16"/>
      <c r="I116" s="17"/>
    </row>
    <row r="117" spans="1:9" ht="18" customHeight="1">
      <c r="A117" s="16"/>
      <c r="B117" s="16"/>
      <c r="C117" s="16"/>
      <c r="D117" s="25"/>
      <c r="E117" s="25"/>
      <c r="F117" s="16"/>
      <c r="G117" s="25"/>
      <c r="H117" s="16"/>
      <c r="I117" s="17"/>
    </row>
    <row r="118" spans="1:9" ht="18" customHeight="1">
      <c r="A118" s="16"/>
      <c r="B118" s="16"/>
      <c r="C118" s="16"/>
      <c r="D118" s="25"/>
      <c r="E118" s="25"/>
      <c r="F118" s="16"/>
      <c r="G118" s="25"/>
      <c r="H118" s="16"/>
      <c r="I118" s="17"/>
    </row>
    <row r="119" spans="1:9" ht="18" customHeight="1">
      <c r="A119" s="16"/>
      <c r="B119" s="16"/>
      <c r="C119" s="16"/>
      <c r="D119" s="25"/>
      <c r="E119" s="25"/>
      <c r="F119" s="16"/>
      <c r="G119" s="25"/>
      <c r="H119" s="16"/>
      <c r="I119" s="17"/>
    </row>
    <row r="120" spans="1:9" ht="18" customHeight="1">
      <c r="A120" s="16"/>
      <c r="B120" s="16"/>
      <c r="C120" s="16"/>
      <c r="D120" s="25"/>
      <c r="E120" s="25"/>
      <c r="F120" s="16"/>
      <c r="G120" s="25"/>
      <c r="H120" s="16"/>
      <c r="I120" s="17"/>
    </row>
    <row r="121" spans="1:9" ht="18" customHeight="1">
      <c r="A121" s="16"/>
      <c r="B121" s="16"/>
      <c r="C121" s="16"/>
      <c r="D121" s="25"/>
      <c r="E121" s="25"/>
      <c r="F121" s="16"/>
      <c r="G121" s="25"/>
      <c r="H121" s="16"/>
      <c r="I121" s="17"/>
    </row>
    <row r="122" spans="1:9" ht="18" customHeight="1">
      <c r="A122" s="16"/>
      <c r="B122" s="16"/>
      <c r="C122" s="16"/>
      <c r="D122" s="25"/>
      <c r="E122" s="25"/>
      <c r="F122" s="16"/>
      <c r="G122" s="25"/>
      <c r="H122" s="16"/>
      <c r="I122" s="17"/>
    </row>
    <row r="123" spans="1:9" ht="18" customHeight="1">
      <c r="A123" s="16"/>
      <c r="B123" s="16"/>
      <c r="C123" s="16"/>
      <c r="D123" s="25"/>
      <c r="E123" s="25"/>
      <c r="F123" s="16"/>
      <c r="G123" s="25"/>
      <c r="H123" s="16"/>
      <c r="I123" s="17"/>
    </row>
    <row r="124" spans="1:9" ht="18" customHeight="1">
      <c r="A124" s="16"/>
      <c r="B124" s="16"/>
      <c r="C124" s="16"/>
      <c r="D124" s="25"/>
      <c r="E124" s="25"/>
      <c r="F124" s="16"/>
      <c r="G124" s="25"/>
      <c r="H124" s="16"/>
      <c r="I124" s="17"/>
    </row>
    <row r="125" spans="1:9" ht="18" customHeight="1">
      <c r="A125" s="16"/>
      <c r="B125" s="16"/>
      <c r="C125" s="16"/>
      <c r="D125" s="25"/>
      <c r="E125" s="25"/>
      <c r="F125" s="16"/>
      <c r="G125" s="25"/>
      <c r="H125" s="16"/>
      <c r="I125" s="17"/>
    </row>
    <row r="126" spans="1:9" ht="18" customHeight="1">
      <c r="A126" s="16"/>
      <c r="B126" s="16"/>
      <c r="C126" s="16"/>
      <c r="D126" s="25"/>
      <c r="E126" s="25"/>
      <c r="F126" s="16"/>
      <c r="G126" s="25"/>
      <c r="H126" s="16"/>
      <c r="I126" s="17"/>
    </row>
    <row r="127" spans="1:9" ht="18" customHeight="1">
      <c r="A127" s="16"/>
      <c r="B127" s="16"/>
      <c r="C127" s="16"/>
      <c r="D127" s="25"/>
      <c r="E127" s="25"/>
      <c r="F127" s="16"/>
      <c r="G127" s="25"/>
      <c r="H127" s="16"/>
      <c r="I127" s="17"/>
    </row>
    <row r="128" spans="1:9" ht="18" customHeight="1">
      <c r="A128" s="16"/>
      <c r="B128" s="16"/>
      <c r="C128" s="16"/>
      <c r="D128" s="25"/>
      <c r="E128" s="25"/>
      <c r="F128" s="16"/>
      <c r="G128" s="25"/>
      <c r="H128" s="16"/>
      <c r="I128" s="17"/>
    </row>
    <row r="129" spans="1:9" ht="18" customHeight="1">
      <c r="A129" s="16"/>
      <c r="B129" s="16"/>
      <c r="C129" s="16"/>
      <c r="D129" s="25"/>
      <c r="E129" s="25"/>
      <c r="F129" s="16"/>
      <c r="G129" s="25"/>
      <c r="H129" s="16"/>
      <c r="I129" s="17"/>
    </row>
    <row r="130" spans="1:9" ht="18" customHeight="1">
      <c r="A130" s="16"/>
      <c r="B130" s="16"/>
      <c r="C130" s="16"/>
      <c r="D130" s="25"/>
      <c r="E130" s="25"/>
      <c r="F130" s="16"/>
      <c r="G130" s="25"/>
      <c r="H130" s="16"/>
      <c r="I130" s="17"/>
    </row>
    <row r="131" spans="1:9" ht="18" customHeight="1">
      <c r="A131" s="16"/>
      <c r="B131" s="16"/>
      <c r="C131" s="16"/>
      <c r="D131" s="25"/>
      <c r="E131" s="25"/>
      <c r="F131" s="16"/>
      <c r="G131" s="25"/>
      <c r="H131" s="16"/>
      <c r="I131" s="17"/>
    </row>
    <row r="132" spans="1:9" ht="18" customHeight="1">
      <c r="A132" s="16"/>
      <c r="B132" s="16"/>
      <c r="C132" s="16"/>
      <c r="D132" s="25"/>
      <c r="E132" s="25"/>
      <c r="F132" s="16"/>
      <c r="G132" s="25"/>
      <c r="H132" s="16"/>
      <c r="I132" s="17"/>
    </row>
    <row r="133" spans="1:9" ht="18" customHeight="1">
      <c r="A133" s="16"/>
      <c r="B133" s="16"/>
      <c r="C133" s="16"/>
      <c r="D133" s="25"/>
      <c r="E133" s="25"/>
      <c r="F133" s="16"/>
      <c r="G133" s="25"/>
      <c r="H133" s="16"/>
      <c r="I133" s="17"/>
    </row>
    <row r="134" spans="1:9" ht="18" customHeight="1">
      <c r="A134" s="16"/>
      <c r="B134" s="16"/>
      <c r="C134" s="16"/>
      <c r="D134" s="25"/>
      <c r="E134" s="25"/>
      <c r="F134" s="16"/>
      <c r="G134" s="25"/>
      <c r="H134" s="16"/>
      <c r="I134" s="17"/>
    </row>
    <row r="135" spans="1:9" ht="18" customHeight="1">
      <c r="A135" s="16"/>
      <c r="B135" s="16"/>
      <c r="C135" s="16"/>
      <c r="D135" s="25"/>
      <c r="E135" s="25"/>
      <c r="F135" s="16"/>
      <c r="G135" s="25"/>
      <c r="H135" s="16"/>
      <c r="I135" s="17"/>
    </row>
    <row r="136" spans="1:9" ht="18" customHeight="1">
      <c r="A136" s="16"/>
      <c r="B136" s="16"/>
      <c r="C136" s="16"/>
      <c r="D136" s="25"/>
      <c r="E136" s="25"/>
      <c r="F136" s="16"/>
      <c r="G136" s="25"/>
      <c r="H136" s="16"/>
      <c r="I136" s="17"/>
    </row>
    <row r="137" spans="1:9" ht="18" customHeight="1">
      <c r="A137" s="16"/>
      <c r="B137" s="16"/>
      <c r="C137" s="16"/>
      <c r="D137" s="25"/>
      <c r="E137" s="25"/>
      <c r="F137" s="16"/>
      <c r="G137" s="25"/>
      <c r="H137" s="16"/>
      <c r="I137" s="17"/>
    </row>
    <row r="138" spans="1:9" ht="18" customHeight="1">
      <c r="A138" s="16"/>
      <c r="B138" s="16"/>
      <c r="C138" s="16"/>
      <c r="D138" s="25"/>
      <c r="E138" s="25"/>
      <c r="F138" s="16"/>
      <c r="G138" s="25"/>
      <c r="H138" s="16"/>
      <c r="I138" s="17"/>
    </row>
    <row r="139" spans="1:9" ht="18" customHeight="1">
      <c r="A139" s="16"/>
      <c r="B139" s="16"/>
      <c r="C139" s="16"/>
      <c r="D139" s="25"/>
      <c r="E139" s="25"/>
      <c r="F139" s="16"/>
      <c r="G139" s="25"/>
      <c r="H139" s="16"/>
      <c r="I139" s="17"/>
    </row>
    <row r="140" spans="1:9" ht="18" customHeight="1">
      <c r="A140" s="16"/>
      <c r="B140" s="16"/>
      <c r="C140" s="16"/>
      <c r="D140" s="25"/>
      <c r="E140" s="25"/>
      <c r="F140" s="16"/>
      <c r="G140" s="25"/>
      <c r="H140" s="16"/>
      <c r="I140" s="17"/>
    </row>
    <row r="141" spans="1:9" ht="18" customHeight="1">
      <c r="A141" s="16"/>
      <c r="B141" s="16"/>
      <c r="C141" s="16"/>
      <c r="D141" s="25"/>
      <c r="E141" s="25"/>
      <c r="F141" s="16"/>
      <c r="G141" s="25"/>
      <c r="H141" s="16"/>
      <c r="I141" s="17"/>
    </row>
    <row r="142" spans="1:9" ht="18" customHeight="1">
      <c r="A142" s="16"/>
      <c r="B142" s="16"/>
      <c r="C142" s="16"/>
      <c r="D142" s="25"/>
      <c r="E142" s="25"/>
      <c r="F142" s="16"/>
      <c r="G142" s="25"/>
      <c r="H142" s="16"/>
      <c r="I142" s="17"/>
    </row>
    <row r="143" spans="1:9" ht="18" customHeight="1">
      <c r="A143" s="16"/>
      <c r="B143" s="16"/>
      <c r="C143" s="16"/>
      <c r="D143" s="25"/>
      <c r="E143" s="25"/>
      <c r="F143" s="16"/>
      <c r="G143" s="25"/>
      <c r="H143" s="16"/>
      <c r="I143" s="17"/>
    </row>
    <row r="144" spans="1:9" ht="18" customHeight="1">
      <c r="A144" s="16"/>
      <c r="B144" s="16"/>
      <c r="C144" s="16"/>
      <c r="D144" s="25"/>
      <c r="E144" s="25"/>
      <c r="F144" s="16"/>
      <c r="G144" s="25"/>
      <c r="H144" s="16"/>
      <c r="I144" s="17"/>
    </row>
    <row r="145" spans="1:9" ht="18" customHeight="1">
      <c r="A145" s="16"/>
      <c r="B145" s="16"/>
      <c r="C145" s="16"/>
      <c r="D145" s="25"/>
      <c r="E145" s="25"/>
      <c r="F145" s="16"/>
      <c r="G145" s="25"/>
      <c r="H145" s="16"/>
      <c r="I145" s="17"/>
    </row>
    <row r="146" spans="1:9" ht="18" customHeight="1">
      <c r="A146" s="16"/>
      <c r="B146" s="16"/>
      <c r="C146" s="16"/>
      <c r="D146" s="25"/>
      <c r="E146" s="25"/>
      <c r="F146" s="16"/>
      <c r="G146" s="25"/>
      <c r="H146" s="16"/>
      <c r="I146" s="17"/>
    </row>
    <row r="147" spans="1:9" ht="18" customHeight="1">
      <c r="A147" s="16"/>
      <c r="B147" s="16"/>
      <c r="C147" s="16"/>
      <c r="D147" s="25"/>
      <c r="E147" s="25"/>
      <c r="F147" s="16"/>
      <c r="G147" s="25"/>
      <c r="H147" s="16"/>
      <c r="I147" s="17"/>
    </row>
    <row r="148" spans="1:9" ht="18" customHeight="1">
      <c r="A148" s="16"/>
      <c r="B148" s="16"/>
      <c r="C148" s="16"/>
      <c r="D148" s="25"/>
      <c r="E148" s="25"/>
      <c r="F148" s="16"/>
      <c r="G148" s="25"/>
      <c r="H148" s="16"/>
      <c r="I148" s="17"/>
    </row>
    <row r="149" spans="1:9" ht="18" customHeight="1">
      <c r="A149" s="16"/>
      <c r="B149" s="16"/>
      <c r="C149" s="16"/>
      <c r="D149" s="25"/>
      <c r="E149" s="25"/>
      <c r="F149" s="16"/>
      <c r="G149" s="25"/>
      <c r="H149" s="16"/>
      <c r="I149" s="17"/>
    </row>
    <row r="150" spans="1:9" ht="18" customHeight="1">
      <c r="A150" s="16"/>
      <c r="B150" s="16"/>
      <c r="C150" s="16"/>
      <c r="D150" s="25"/>
      <c r="E150" s="25"/>
      <c r="F150" s="16"/>
      <c r="G150" s="25"/>
      <c r="H150" s="16"/>
      <c r="I150" s="17"/>
    </row>
    <row r="151" spans="1:9" ht="18" customHeight="1">
      <c r="A151" s="16"/>
      <c r="B151" s="16"/>
      <c r="C151" s="16"/>
      <c r="D151" s="25"/>
      <c r="E151" s="25"/>
      <c r="F151" s="16"/>
      <c r="G151" s="25"/>
      <c r="H151" s="16"/>
      <c r="I151" s="17"/>
    </row>
    <row r="152" spans="1:9" ht="18" customHeight="1">
      <c r="A152" s="16"/>
      <c r="B152" s="16"/>
      <c r="C152" s="16"/>
      <c r="D152" s="25"/>
      <c r="E152" s="25"/>
      <c r="F152" s="16"/>
      <c r="G152" s="25"/>
      <c r="H152" s="16"/>
      <c r="I152" s="17"/>
    </row>
    <row r="153" spans="1:9" ht="18" customHeight="1">
      <c r="A153" s="16"/>
      <c r="B153" s="16"/>
      <c r="C153" s="16"/>
      <c r="D153" s="25"/>
      <c r="E153" s="25"/>
      <c r="F153" s="16"/>
      <c r="G153" s="25"/>
      <c r="H153" s="16"/>
      <c r="I153" s="17"/>
    </row>
    <row r="154" spans="1:9" ht="18" customHeight="1">
      <c r="A154" s="16"/>
      <c r="B154" s="16"/>
      <c r="C154" s="16"/>
      <c r="D154" s="25"/>
      <c r="E154" s="25"/>
      <c r="F154" s="16"/>
      <c r="G154" s="25"/>
      <c r="H154" s="16"/>
      <c r="I154" s="17"/>
    </row>
    <row r="155" spans="1:9" ht="18" customHeight="1">
      <c r="A155" s="16"/>
      <c r="B155" s="16"/>
      <c r="C155" s="16"/>
      <c r="D155" s="25"/>
      <c r="E155" s="25"/>
      <c r="F155" s="16"/>
      <c r="G155" s="25"/>
      <c r="H155" s="16"/>
      <c r="I155" s="17"/>
    </row>
    <row r="156" spans="1:9" ht="18" customHeight="1">
      <c r="A156" s="16"/>
      <c r="B156" s="16"/>
      <c r="C156" s="16"/>
      <c r="D156" s="25"/>
      <c r="E156" s="25"/>
      <c r="F156" s="16"/>
      <c r="G156" s="25"/>
      <c r="H156" s="16"/>
      <c r="I156" s="17"/>
    </row>
    <row r="157" spans="1:9" ht="18" customHeight="1">
      <c r="A157" s="16"/>
      <c r="B157" s="16"/>
      <c r="C157" s="16"/>
      <c r="D157" s="25"/>
      <c r="E157" s="25"/>
      <c r="F157" s="16"/>
      <c r="G157" s="25"/>
      <c r="H157" s="16"/>
      <c r="I157" s="17"/>
    </row>
    <row r="158" spans="1:9" ht="18" customHeight="1">
      <c r="A158" s="16"/>
      <c r="B158" s="16"/>
      <c r="C158" s="16"/>
      <c r="D158" s="25"/>
      <c r="E158" s="25"/>
      <c r="F158" s="16"/>
      <c r="G158" s="25"/>
      <c r="H158" s="16"/>
      <c r="I158" s="17"/>
    </row>
    <row r="159" spans="1:9" ht="18" customHeight="1">
      <c r="A159" s="16"/>
      <c r="B159" s="16"/>
      <c r="C159" s="16"/>
      <c r="D159" s="25"/>
      <c r="E159" s="25"/>
      <c r="F159" s="16"/>
      <c r="G159" s="25"/>
      <c r="H159" s="16"/>
      <c r="I159" s="17"/>
    </row>
    <row r="160" spans="1:9" ht="18" customHeight="1">
      <c r="A160" s="16"/>
      <c r="B160" s="16"/>
      <c r="C160" s="16"/>
      <c r="D160" s="25"/>
      <c r="E160" s="25"/>
      <c r="F160" s="16"/>
      <c r="G160" s="25"/>
      <c r="H160" s="16"/>
      <c r="I160" s="17"/>
    </row>
    <row r="161" spans="1:9" ht="18" customHeight="1">
      <c r="A161" s="16"/>
      <c r="B161" s="16"/>
      <c r="C161" s="16"/>
      <c r="D161" s="25"/>
      <c r="E161" s="25"/>
      <c r="F161" s="16"/>
      <c r="G161" s="25"/>
      <c r="H161" s="16"/>
      <c r="I161" s="17"/>
    </row>
    <row r="162" spans="1:9" ht="18" customHeight="1">
      <c r="A162" s="16"/>
      <c r="B162" s="16"/>
      <c r="C162" s="16"/>
      <c r="D162" s="25"/>
      <c r="E162" s="25"/>
      <c r="F162" s="16"/>
      <c r="G162" s="25"/>
      <c r="H162" s="16"/>
      <c r="I162" s="17"/>
    </row>
    <row r="163" spans="1:9" ht="18" customHeight="1">
      <c r="A163" s="16"/>
      <c r="B163" s="16"/>
      <c r="C163" s="16"/>
      <c r="D163" s="25"/>
      <c r="E163" s="25"/>
      <c r="F163" s="16"/>
      <c r="G163" s="25"/>
      <c r="H163" s="16"/>
      <c r="I163" s="17"/>
    </row>
    <row r="164" spans="1:9" ht="18" customHeight="1">
      <c r="A164" s="16"/>
      <c r="B164" s="16"/>
      <c r="C164" s="16"/>
      <c r="D164" s="25"/>
      <c r="E164" s="25"/>
      <c r="F164" s="16"/>
      <c r="G164" s="25"/>
      <c r="H164" s="16"/>
      <c r="I164" s="17"/>
    </row>
    <row r="165" spans="1:9" ht="18" customHeight="1">
      <c r="A165" s="16"/>
      <c r="B165" s="16"/>
      <c r="C165" s="16"/>
      <c r="D165" s="25"/>
      <c r="E165" s="25"/>
      <c r="F165" s="16"/>
      <c r="G165" s="25"/>
      <c r="H165" s="16"/>
      <c r="I165" s="17"/>
    </row>
    <row r="166" spans="1:9" ht="18" customHeight="1">
      <c r="A166" s="16"/>
      <c r="B166" s="16"/>
      <c r="C166" s="16"/>
      <c r="D166" s="25"/>
      <c r="E166" s="25"/>
      <c r="F166" s="16"/>
      <c r="G166" s="25"/>
      <c r="H166" s="16"/>
      <c r="I166" s="17"/>
    </row>
    <row r="167" spans="1:9" ht="18" customHeight="1">
      <c r="A167" s="16"/>
      <c r="B167" s="16"/>
      <c r="C167" s="16"/>
      <c r="D167" s="25"/>
      <c r="E167" s="25"/>
      <c r="F167" s="16"/>
      <c r="G167" s="25"/>
      <c r="H167" s="16"/>
      <c r="I167" s="17"/>
    </row>
    <row r="168" spans="1:9" ht="18" customHeight="1">
      <c r="A168" s="16"/>
      <c r="B168" s="16"/>
      <c r="C168" s="16"/>
      <c r="D168" s="25"/>
      <c r="E168" s="25"/>
      <c r="F168" s="16"/>
      <c r="G168" s="25"/>
      <c r="H168" s="16"/>
      <c r="I168" s="17"/>
    </row>
    <row r="169" spans="1:9" ht="18" customHeight="1">
      <c r="A169" s="16"/>
      <c r="B169" s="16"/>
      <c r="C169" s="16"/>
      <c r="D169" s="25"/>
      <c r="E169" s="25"/>
      <c r="F169" s="16"/>
      <c r="G169" s="25"/>
      <c r="H169" s="16"/>
      <c r="I169" s="17"/>
    </row>
    <row r="170" spans="1:9" ht="18" customHeight="1">
      <c r="A170" s="16"/>
      <c r="B170" s="16"/>
      <c r="C170" s="16"/>
      <c r="D170" s="25"/>
      <c r="E170" s="25"/>
      <c r="F170" s="16"/>
      <c r="G170" s="25"/>
      <c r="H170" s="16"/>
      <c r="I170" s="17"/>
    </row>
    <row r="171" spans="1:9" ht="18" customHeight="1">
      <c r="A171" s="16"/>
      <c r="B171" s="16"/>
      <c r="C171" s="16"/>
      <c r="D171" s="25"/>
      <c r="E171" s="25"/>
      <c r="F171" s="16"/>
      <c r="G171" s="25"/>
      <c r="H171" s="16"/>
      <c r="I171" s="17"/>
    </row>
    <row r="172" spans="1:9" ht="18" customHeight="1">
      <c r="A172" s="16"/>
      <c r="B172" s="16"/>
      <c r="C172" s="16"/>
      <c r="D172" s="25"/>
      <c r="E172" s="25"/>
      <c r="F172" s="16"/>
      <c r="G172" s="25"/>
      <c r="H172" s="16"/>
      <c r="I172" s="17"/>
    </row>
    <row r="173" spans="1:9" ht="18" customHeight="1">
      <c r="A173" s="16"/>
      <c r="B173" s="16"/>
      <c r="C173" s="16"/>
      <c r="D173" s="25"/>
      <c r="E173" s="25"/>
      <c r="F173" s="16"/>
      <c r="G173" s="25"/>
      <c r="H173" s="16"/>
      <c r="I173" s="17"/>
    </row>
    <row r="174" spans="1:9" ht="18" customHeight="1">
      <c r="A174" s="16"/>
      <c r="B174" s="16"/>
      <c r="C174" s="16"/>
      <c r="D174" s="25"/>
      <c r="E174" s="25"/>
      <c r="F174" s="16"/>
      <c r="G174" s="25"/>
      <c r="H174" s="16"/>
      <c r="I174" s="17"/>
    </row>
    <row r="175" spans="1:9" ht="18" customHeight="1">
      <c r="A175" s="16"/>
      <c r="B175" s="16"/>
      <c r="C175" s="16"/>
      <c r="D175" s="25"/>
      <c r="E175" s="25"/>
      <c r="F175" s="16"/>
      <c r="G175" s="25"/>
      <c r="H175" s="16"/>
      <c r="I175" s="17"/>
    </row>
    <row r="176" spans="1:9" ht="18" customHeight="1">
      <c r="A176" s="16"/>
      <c r="B176" s="16"/>
      <c r="C176" s="16"/>
      <c r="D176" s="25"/>
      <c r="E176" s="25"/>
      <c r="F176" s="16"/>
      <c r="G176" s="25"/>
      <c r="H176" s="16"/>
      <c r="I176" s="17"/>
    </row>
    <row r="177" spans="1:9" ht="18" customHeight="1">
      <c r="A177" s="16"/>
      <c r="B177" s="16"/>
      <c r="C177" s="16"/>
      <c r="D177" s="25"/>
      <c r="E177" s="25"/>
      <c r="F177" s="16"/>
      <c r="G177" s="25"/>
      <c r="H177" s="16"/>
      <c r="I177" s="17"/>
    </row>
    <row r="178" spans="1:9" ht="18" customHeight="1">
      <c r="A178" s="16"/>
      <c r="B178" s="16"/>
      <c r="C178" s="16"/>
      <c r="D178" s="25"/>
      <c r="E178" s="25"/>
      <c r="F178" s="16"/>
      <c r="G178" s="25"/>
      <c r="H178" s="16"/>
      <c r="I178" s="17"/>
    </row>
    <row r="179" spans="1:9" ht="18" customHeight="1">
      <c r="A179" s="16"/>
      <c r="B179" s="16"/>
      <c r="C179" s="16"/>
      <c r="D179" s="25"/>
      <c r="E179" s="25"/>
      <c r="F179" s="16"/>
      <c r="G179" s="25"/>
      <c r="H179" s="16"/>
      <c r="I179" s="17"/>
    </row>
    <row r="180" spans="1:9" ht="18" customHeight="1">
      <c r="A180" s="16"/>
      <c r="B180" s="16"/>
      <c r="C180" s="16"/>
      <c r="D180" s="25"/>
      <c r="E180" s="25"/>
      <c r="F180" s="16"/>
      <c r="G180" s="25"/>
      <c r="H180" s="16"/>
      <c r="I180" s="17"/>
    </row>
    <row r="181" spans="1:9" ht="18" customHeight="1">
      <c r="A181" s="16"/>
      <c r="B181" s="16"/>
      <c r="C181" s="16"/>
      <c r="D181" s="25"/>
      <c r="E181" s="25"/>
      <c r="F181" s="16"/>
      <c r="G181" s="25"/>
      <c r="H181" s="16"/>
      <c r="I181" s="17"/>
    </row>
    <row r="182" spans="1:9" ht="18" customHeight="1">
      <c r="A182" s="16"/>
      <c r="B182" s="16"/>
      <c r="C182" s="16"/>
      <c r="D182" s="25"/>
      <c r="E182" s="25"/>
      <c r="F182" s="16"/>
      <c r="G182" s="25"/>
      <c r="H182" s="16"/>
      <c r="I182" s="17"/>
    </row>
    <row r="183" spans="1:9" ht="18" customHeight="1">
      <c r="A183" s="16"/>
      <c r="B183" s="16"/>
      <c r="C183" s="16"/>
      <c r="D183" s="25"/>
      <c r="E183" s="25"/>
      <c r="F183" s="16"/>
      <c r="G183" s="25"/>
      <c r="H183" s="16"/>
      <c r="I183" s="17"/>
    </row>
    <row r="184" spans="1:9" ht="18" customHeight="1">
      <c r="A184" s="16"/>
      <c r="B184" s="16"/>
      <c r="C184" s="16"/>
      <c r="D184" s="25"/>
      <c r="E184" s="25"/>
      <c r="F184" s="16"/>
      <c r="G184" s="25"/>
      <c r="H184" s="16"/>
      <c r="I184" s="17"/>
    </row>
    <row r="185" spans="1:9" ht="18" customHeight="1">
      <c r="A185" s="16"/>
      <c r="B185" s="16"/>
      <c r="C185" s="16"/>
      <c r="D185" s="25"/>
      <c r="E185" s="25"/>
      <c r="F185" s="16"/>
      <c r="G185" s="25"/>
      <c r="H185" s="16"/>
      <c r="I185" s="17"/>
    </row>
    <row r="186" spans="1:9" ht="18" customHeight="1">
      <c r="A186" s="16"/>
      <c r="B186" s="16"/>
      <c r="C186" s="16"/>
      <c r="D186" s="25"/>
      <c r="E186" s="25"/>
      <c r="F186" s="16"/>
      <c r="G186" s="25"/>
      <c r="H186" s="16"/>
      <c r="I186" s="17"/>
    </row>
    <row r="187" spans="1:9" ht="18" customHeight="1">
      <c r="A187" s="16"/>
      <c r="B187" s="16"/>
      <c r="C187" s="16"/>
      <c r="D187" s="25"/>
      <c r="E187" s="25"/>
      <c r="F187" s="16"/>
      <c r="G187" s="25"/>
      <c r="H187" s="16"/>
      <c r="I187" s="17"/>
    </row>
    <row r="188" spans="1:9" ht="18" customHeight="1">
      <c r="A188" s="16"/>
      <c r="B188" s="16"/>
      <c r="C188" s="16"/>
      <c r="D188" s="25"/>
      <c r="E188" s="25"/>
      <c r="F188" s="16"/>
      <c r="G188" s="25"/>
      <c r="H188" s="16"/>
      <c r="I188" s="17"/>
    </row>
    <row r="189" spans="1:9" ht="18" customHeight="1">
      <c r="A189" s="16"/>
      <c r="B189" s="16"/>
      <c r="C189" s="16"/>
      <c r="D189" s="25"/>
      <c r="E189" s="25"/>
      <c r="F189" s="16"/>
      <c r="G189" s="25"/>
      <c r="H189" s="16"/>
      <c r="I189" s="17"/>
    </row>
    <row r="190" spans="1:9" ht="18" customHeight="1">
      <c r="A190" s="16"/>
      <c r="B190" s="16"/>
      <c r="C190" s="16"/>
      <c r="D190" s="25"/>
      <c r="E190" s="25"/>
      <c r="F190" s="16"/>
      <c r="G190" s="25"/>
      <c r="H190" s="16"/>
      <c r="I190" s="17"/>
    </row>
    <row r="191" spans="1:9" ht="18" customHeight="1">
      <c r="A191" s="16"/>
      <c r="B191" s="16"/>
      <c r="C191" s="16"/>
      <c r="D191" s="25"/>
      <c r="E191" s="25"/>
      <c r="F191" s="16"/>
      <c r="G191" s="25"/>
      <c r="H191" s="16"/>
      <c r="I191" s="17"/>
    </row>
    <row r="192" spans="1:9" ht="18" customHeight="1">
      <c r="A192" s="16"/>
      <c r="B192" s="16"/>
      <c r="C192" s="16"/>
      <c r="D192" s="25"/>
      <c r="E192" s="25"/>
      <c r="F192" s="16"/>
      <c r="G192" s="25"/>
      <c r="H192" s="16"/>
      <c r="I192" s="17"/>
    </row>
    <row r="193" spans="1:9" ht="18" customHeight="1">
      <c r="A193" s="16"/>
      <c r="B193" s="16"/>
      <c r="C193" s="16"/>
      <c r="D193" s="25"/>
      <c r="E193" s="25"/>
      <c r="F193" s="16"/>
      <c r="G193" s="25"/>
      <c r="H193" s="16"/>
      <c r="I193" s="17"/>
    </row>
    <row r="194" spans="1:9" ht="18" customHeight="1">
      <c r="A194" s="16"/>
      <c r="B194" s="16"/>
      <c r="C194" s="16"/>
      <c r="D194" s="25"/>
      <c r="E194" s="25"/>
      <c r="F194" s="16"/>
      <c r="G194" s="25"/>
      <c r="H194" s="16"/>
      <c r="I194" s="17"/>
    </row>
    <row r="195" spans="1:9" ht="18" customHeight="1">
      <c r="A195" s="16"/>
      <c r="B195" s="16"/>
      <c r="C195" s="16"/>
      <c r="D195" s="25"/>
      <c r="E195" s="25"/>
      <c r="F195" s="16"/>
      <c r="G195" s="25"/>
      <c r="H195" s="16"/>
      <c r="I195" s="17"/>
    </row>
    <row r="196" spans="1:9" ht="18" customHeight="1">
      <c r="A196" s="16"/>
      <c r="B196" s="16"/>
      <c r="C196" s="16"/>
      <c r="D196" s="25"/>
      <c r="E196" s="25"/>
      <c r="F196" s="16"/>
      <c r="G196" s="25"/>
      <c r="H196" s="16"/>
      <c r="I196" s="17"/>
    </row>
    <row r="197" spans="1:9" ht="18" customHeight="1">
      <c r="A197" s="16"/>
      <c r="B197" s="16"/>
      <c r="C197" s="16"/>
      <c r="D197" s="25"/>
      <c r="E197" s="25"/>
      <c r="F197" s="16"/>
      <c r="G197" s="25"/>
      <c r="H197" s="16"/>
      <c r="I197" s="17"/>
    </row>
    <row r="198" spans="1:9" ht="18" customHeight="1">
      <c r="A198" s="16"/>
      <c r="B198" s="16"/>
      <c r="C198" s="16"/>
      <c r="D198" s="25"/>
      <c r="E198" s="25"/>
      <c r="F198" s="16"/>
      <c r="G198" s="25"/>
      <c r="H198" s="16"/>
      <c r="I198" s="17"/>
    </row>
    <row r="199" spans="1:9" ht="18" customHeight="1">
      <c r="A199" s="16"/>
      <c r="B199" s="16"/>
      <c r="C199" s="16"/>
      <c r="D199" s="25"/>
      <c r="E199" s="25"/>
      <c r="F199" s="16"/>
      <c r="G199" s="25"/>
      <c r="H199" s="16"/>
      <c r="I199" s="17"/>
    </row>
    <row r="200" spans="1:9" ht="18" customHeight="1">
      <c r="A200" s="16"/>
      <c r="B200" s="16"/>
      <c r="C200" s="16"/>
      <c r="D200" s="25"/>
      <c r="E200" s="25"/>
      <c r="F200" s="16"/>
      <c r="G200" s="25"/>
      <c r="H200" s="16"/>
      <c r="I200" s="17"/>
    </row>
    <row r="201" spans="1:9" ht="18" customHeight="1">
      <c r="A201" s="16"/>
      <c r="B201" s="16"/>
      <c r="C201" s="16"/>
      <c r="D201" s="25"/>
      <c r="E201" s="25"/>
      <c r="F201" s="16"/>
      <c r="G201" s="25"/>
      <c r="H201" s="16"/>
      <c r="I201" s="17"/>
    </row>
    <row r="202" spans="1:9" ht="18" customHeight="1">
      <c r="A202" s="16"/>
      <c r="B202" s="16"/>
      <c r="C202" s="16"/>
      <c r="D202" s="25"/>
      <c r="E202" s="25"/>
      <c r="F202" s="16"/>
      <c r="G202" s="25"/>
      <c r="H202" s="16"/>
      <c r="I202" s="17"/>
    </row>
    <row r="203" spans="1:9" ht="18" customHeight="1">
      <c r="A203" s="16"/>
      <c r="B203" s="16"/>
      <c r="C203" s="16"/>
      <c r="D203" s="25"/>
      <c r="E203" s="25"/>
      <c r="F203" s="16"/>
      <c r="G203" s="25"/>
      <c r="H203" s="16"/>
      <c r="I203" s="17"/>
    </row>
    <row r="204" spans="1:9" ht="18" customHeight="1">
      <c r="A204" s="16"/>
      <c r="B204" s="16"/>
      <c r="C204" s="16"/>
      <c r="D204" s="25"/>
      <c r="E204" s="25"/>
      <c r="F204" s="16"/>
      <c r="G204" s="25"/>
      <c r="H204" s="16"/>
      <c r="I204" s="17"/>
    </row>
    <row r="205" spans="1:9" ht="18" customHeight="1">
      <c r="A205" s="16"/>
      <c r="B205" s="16"/>
      <c r="C205" s="16"/>
      <c r="D205" s="25"/>
      <c r="E205" s="25"/>
      <c r="F205" s="16"/>
      <c r="G205" s="25"/>
      <c r="H205" s="16"/>
      <c r="I205" s="17"/>
    </row>
    <row r="206" spans="1:9" ht="18" customHeight="1">
      <c r="A206" s="16"/>
      <c r="B206" s="16"/>
      <c r="C206" s="16"/>
      <c r="D206" s="25"/>
      <c r="E206" s="25"/>
      <c r="F206" s="16"/>
      <c r="G206" s="25"/>
      <c r="H206" s="16"/>
      <c r="I206" s="17"/>
    </row>
    <row r="207" spans="1:9" ht="18" customHeight="1">
      <c r="A207" s="16"/>
      <c r="B207" s="16"/>
      <c r="C207" s="16"/>
      <c r="D207" s="25"/>
      <c r="E207" s="25"/>
      <c r="F207" s="16"/>
      <c r="G207" s="25"/>
      <c r="H207" s="16"/>
      <c r="I207" s="17"/>
    </row>
    <row r="208" spans="1:9" ht="18" customHeight="1">
      <c r="A208" s="16"/>
      <c r="B208" s="16"/>
      <c r="C208" s="16"/>
      <c r="D208" s="25"/>
      <c r="E208" s="25"/>
      <c r="F208" s="16"/>
      <c r="G208" s="25"/>
      <c r="H208" s="16"/>
      <c r="I208" s="17"/>
    </row>
    <row r="209" spans="1:9" ht="18" customHeight="1">
      <c r="A209" s="16"/>
      <c r="B209" s="16"/>
      <c r="C209" s="16"/>
      <c r="D209" s="25"/>
      <c r="E209" s="25"/>
      <c r="F209" s="16"/>
      <c r="G209" s="25"/>
      <c r="H209" s="16"/>
      <c r="I209" s="17"/>
    </row>
    <row r="210" spans="1:9" ht="18" customHeight="1">
      <c r="A210" s="16"/>
      <c r="B210" s="16"/>
      <c r="C210" s="16"/>
      <c r="D210" s="25"/>
      <c r="E210" s="25"/>
      <c r="F210" s="16"/>
      <c r="G210" s="25"/>
      <c r="H210" s="16"/>
      <c r="I210" s="17"/>
    </row>
    <row r="211" spans="1:9" ht="18" customHeight="1">
      <c r="A211" s="16"/>
      <c r="B211" s="16"/>
      <c r="C211" s="16"/>
      <c r="D211" s="25"/>
      <c r="E211" s="25"/>
      <c r="F211" s="16"/>
      <c r="G211" s="25"/>
      <c r="H211" s="16"/>
      <c r="I211" s="17"/>
    </row>
    <row r="212" spans="1:9" ht="18" customHeight="1">
      <c r="A212" s="16"/>
      <c r="B212" s="16"/>
      <c r="C212" s="16"/>
      <c r="D212" s="25"/>
      <c r="E212" s="25"/>
      <c r="F212" s="16"/>
      <c r="G212" s="25"/>
      <c r="H212" s="16"/>
      <c r="I212" s="17"/>
    </row>
    <row r="213" spans="1:9" ht="18" customHeight="1">
      <c r="A213" s="16"/>
      <c r="B213" s="16"/>
      <c r="C213" s="16"/>
      <c r="D213" s="25"/>
      <c r="E213" s="25"/>
      <c r="F213" s="16"/>
      <c r="G213" s="25"/>
      <c r="H213" s="16"/>
      <c r="I213" s="17"/>
    </row>
    <row r="214" spans="1:9" ht="18" customHeight="1">
      <c r="A214" s="16"/>
      <c r="B214" s="16"/>
      <c r="C214" s="16"/>
      <c r="D214" s="25"/>
      <c r="E214" s="25"/>
      <c r="F214" s="16"/>
      <c r="G214" s="25"/>
      <c r="H214" s="16"/>
      <c r="I214" s="17"/>
    </row>
    <row r="215" spans="1:9" ht="18" customHeight="1">
      <c r="A215" s="16"/>
      <c r="B215" s="16"/>
      <c r="C215" s="16"/>
      <c r="D215" s="25"/>
      <c r="E215" s="25"/>
      <c r="F215" s="16"/>
      <c r="G215" s="25"/>
      <c r="H215" s="16"/>
      <c r="I215" s="17"/>
    </row>
    <row r="216" spans="1:9" ht="18" customHeight="1">
      <c r="A216" s="16"/>
      <c r="B216" s="16"/>
      <c r="C216" s="16"/>
      <c r="D216" s="25"/>
      <c r="E216" s="25"/>
      <c r="F216" s="16"/>
      <c r="G216" s="25"/>
      <c r="H216" s="16"/>
      <c r="I216" s="17"/>
    </row>
    <row r="217" spans="1:9" ht="18" customHeight="1">
      <c r="A217" s="16"/>
      <c r="B217" s="16"/>
      <c r="C217" s="16"/>
      <c r="D217" s="25"/>
      <c r="E217" s="25"/>
      <c r="F217" s="16"/>
      <c r="G217" s="25"/>
      <c r="H217" s="16"/>
      <c r="I217" s="17"/>
    </row>
    <row r="218" spans="1:9" ht="18" customHeight="1">
      <c r="A218" s="16"/>
      <c r="B218" s="16"/>
      <c r="C218" s="16"/>
      <c r="D218" s="25"/>
      <c r="E218" s="25"/>
      <c r="F218" s="16"/>
      <c r="G218" s="25"/>
      <c r="H218" s="16"/>
      <c r="I218" s="17"/>
    </row>
    <row r="219" spans="1:9" ht="18" customHeight="1">
      <c r="A219" s="16"/>
      <c r="B219" s="16"/>
      <c r="C219" s="16"/>
      <c r="D219" s="25"/>
      <c r="E219" s="25"/>
      <c r="F219" s="16"/>
      <c r="G219" s="25"/>
      <c r="H219" s="16"/>
      <c r="I219" s="17"/>
    </row>
    <row r="220" spans="1:9" ht="18" customHeight="1">
      <c r="A220" s="16"/>
      <c r="B220" s="16"/>
      <c r="C220" s="16"/>
      <c r="D220" s="25"/>
      <c r="E220" s="25"/>
      <c r="F220" s="16"/>
      <c r="G220" s="25"/>
      <c r="H220" s="16"/>
      <c r="I220" s="17"/>
    </row>
    <row r="221" spans="1:9" ht="18" customHeight="1">
      <c r="A221" s="16"/>
      <c r="B221" s="16"/>
      <c r="C221" s="16"/>
      <c r="D221" s="25"/>
      <c r="E221" s="25"/>
      <c r="F221" s="16"/>
      <c r="G221" s="25"/>
      <c r="H221" s="16"/>
      <c r="I221" s="17"/>
    </row>
    <row r="222" spans="1:9" ht="18" customHeight="1">
      <c r="A222" s="16"/>
      <c r="B222" s="16"/>
      <c r="C222" s="16"/>
      <c r="D222" s="25"/>
      <c r="E222" s="25"/>
      <c r="F222" s="16"/>
      <c r="G222" s="25"/>
      <c r="H222" s="16"/>
      <c r="I222" s="17"/>
    </row>
    <row r="223" spans="1:9" ht="18" customHeight="1">
      <c r="A223" s="16"/>
      <c r="B223" s="16"/>
      <c r="C223" s="16"/>
      <c r="D223" s="25"/>
      <c r="E223" s="25"/>
      <c r="F223" s="16"/>
      <c r="G223" s="25"/>
      <c r="H223" s="16"/>
      <c r="I223" s="17"/>
    </row>
    <row r="224" spans="1:9" ht="18" customHeight="1">
      <c r="A224" s="16"/>
      <c r="B224" s="16"/>
      <c r="C224" s="16"/>
      <c r="D224" s="25"/>
      <c r="E224" s="25"/>
      <c r="F224" s="16"/>
      <c r="G224" s="25"/>
      <c r="H224" s="16"/>
      <c r="I224" s="17"/>
    </row>
    <row r="225" spans="1:9" ht="18" customHeight="1">
      <c r="A225" s="16"/>
      <c r="B225" s="16"/>
      <c r="C225" s="16"/>
      <c r="D225" s="25"/>
      <c r="E225" s="25"/>
      <c r="F225" s="16"/>
      <c r="G225" s="25"/>
      <c r="H225" s="16"/>
      <c r="I225" s="17"/>
    </row>
    <row r="226" spans="1:9" ht="18" customHeight="1">
      <c r="A226" s="16"/>
      <c r="B226" s="16"/>
      <c r="C226" s="16"/>
      <c r="D226" s="25"/>
      <c r="E226" s="25"/>
      <c r="F226" s="16"/>
      <c r="G226" s="25"/>
      <c r="H226" s="16"/>
      <c r="I226" s="17"/>
    </row>
    <row r="227" spans="1:9" ht="18" customHeight="1">
      <c r="A227" s="16"/>
      <c r="B227" s="16"/>
      <c r="C227" s="16"/>
      <c r="D227" s="25"/>
      <c r="E227" s="25"/>
      <c r="F227" s="16"/>
      <c r="G227" s="25"/>
      <c r="H227" s="16"/>
      <c r="I227" s="17"/>
    </row>
    <row r="228" spans="1:9" ht="18" customHeight="1">
      <c r="A228" s="16"/>
      <c r="B228" s="16"/>
      <c r="C228" s="16"/>
      <c r="D228" s="25"/>
      <c r="E228" s="25"/>
      <c r="F228" s="16"/>
      <c r="G228" s="25"/>
      <c r="H228" s="16"/>
      <c r="I228" s="17"/>
    </row>
    <row r="229" spans="1:9" ht="18" customHeight="1">
      <c r="A229" s="16"/>
      <c r="B229" s="16"/>
      <c r="C229" s="16"/>
      <c r="D229" s="25"/>
      <c r="E229" s="25"/>
      <c r="F229" s="16"/>
      <c r="G229" s="25"/>
      <c r="H229" s="16"/>
      <c r="I229" s="17"/>
    </row>
    <row r="230" spans="1:9" ht="18" customHeight="1">
      <c r="A230" s="16"/>
      <c r="B230" s="16"/>
      <c r="C230" s="16"/>
      <c r="D230" s="25"/>
      <c r="E230" s="25"/>
      <c r="F230" s="16"/>
      <c r="G230" s="25"/>
      <c r="H230" s="16"/>
      <c r="I230" s="17"/>
    </row>
    <row r="231" spans="1:9" ht="18" customHeight="1">
      <c r="A231" s="16"/>
      <c r="B231" s="16"/>
      <c r="C231" s="16"/>
      <c r="D231" s="25"/>
      <c r="E231" s="25"/>
      <c r="F231" s="16"/>
      <c r="G231" s="25"/>
      <c r="H231" s="16"/>
      <c r="I231" s="17"/>
    </row>
    <row r="232" spans="1:9" ht="18" customHeight="1">
      <c r="A232" s="16"/>
      <c r="B232" s="16"/>
      <c r="C232" s="16"/>
      <c r="D232" s="25"/>
      <c r="E232" s="25"/>
      <c r="F232" s="16"/>
      <c r="G232" s="25"/>
      <c r="H232" s="16"/>
      <c r="I232" s="17"/>
    </row>
    <row r="233" spans="1:9" ht="18" customHeight="1">
      <c r="A233" s="16"/>
      <c r="B233" s="16"/>
      <c r="C233" s="16"/>
      <c r="D233" s="25"/>
      <c r="E233" s="25"/>
      <c r="F233" s="16"/>
      <c r="G233" s="25"/>
      <c r="H233" s="16"/>
      <c r="I233" s="17"/>
    </row>
    <row r="234" spans="1:9" ht="18" customHeight="1">
      <c r="A234" s="16"/>
      <c r="B234" s="16"/>
      <c r="C234" s="16"/>
      <c r="D234" s="25"/>
      <c r="E234" s="25"/>
      <c r="F234" s="16"/>
      <c r="G234" s="25"/>
      <c r="H234" s="16"/>
      <c r="I234" s="17"/>
    </row>
    <row r="235" spans="1:9" ht="18" customHeight="1">
      <c r="A235" s="16"/>
      <c r="B235" s="16"/>
      <c r="C235" s="16"/>
      <c r="D235" s="25"/>
      <c r="E235" s="25"/>
      <c r="F235" s="16"/>
      <c r="G235" s="25"/>
      <c r="H235" s="16"/>
      <c r="I235" s="17"/>
    </row>
    <row r="236" spans="1:9" ht="18" customHeight="1">
      <c r="A236" s="16"/>
      <c r="B236" s="16"/>
      <c r="C236" s="16"/>
      <c r="D236" s="25"/>
      <c r="E236" s="25"/>
      <c r="F236" s="16"/>
      <c r="G236" s="25"/>
      <c r="H236" s="16"/>
      <c r="I236" s="17"/>
    </row>
    <row r="237" spans="1:9" ht="18" customHeight="1">
      <c r="A237" s="16"/>
      <c r="B237" s="16"/>
      <c r="C237" s="16"/>
      <c r="D237" s="25"/>
      <c r="E237" s="25"/>
      <c r="F237" s="16"/>
      <c r="G237" s="25"/>
      <c r="H237" s="16"/>
      <c r="I237" s="17"/>
    </row>
    <row r="238" spans="1:9" ht="18" customHeight="1">
      <c r="A238" s="16"/>
      <c r="B238" s="16"/>
      <c r="C238" s="16"/>
      <c r="D238" s="25"/>
      <c r="E238" s="25"/>
      <c r="F238" s="16"/>
      <c r="G238" s="25"/>
      <c r="H238" s="16"/>
      <c r="I238" s="17"/>
    </row>
    <row r="239" spans="1:9" ht="18" customHeight="1">
      <c r="A239" s="16"/>
      <c r="B239" s="16"/>
      <c r="C239" s="16"/>
      <c r="D239" s="25"/>
      <c r="E239" s="25"/>
      <c r="F239" s="16"/>
      <c r="G239" s="25"/>
      <c r="H239" s="16"/>
      <c r="I239" s="17"/>
    </row>
    <row r="240" spans="1:9" ht="18" customHeight="1">
      <c r="A240" s="16"/>
      <c r="B240" s="16"/>
      <c r="C240" s="16"/>
      <c r="D240" s="25"/>
      <c r="E240" s="25"/>
      <c r="F240" s="16"/>
      <c r="G240" s="25"/>
      <c r="H240" s="16"/>
      <c r="I240" s="17"/>
    </row>
    <row r="241" spans="1:9" ht="18" customHeight="1">
      <c r="A241" s="16"/>
      <c r="B241" s="16"/>
      <c r="C241" s="16"/>
      <c r="D241" s="25"/>
      <c r="E241" s="25"/>
      <c r="F241" s="16"/>
      <c r="G241" s="25"/>
      <c r="H241" s="16"/>
      <c r="I241" s="17"/>
    </row>
    <row r="242" spans="1:9" ht="18" customHeight="1">
      <c r="A242" s="16"/>
      <c r="B242" s="16"/>
      <c r="C242" s="16"/>
      <c r="D242" s="25"/>
      <c r="E242" s="25"/>
      <c r="F242" s="16"/>
      <c r="G242" s="25"/>
      <c r="H242" s="16"/>
      <c r="I242" s="17"/>
    </row>
    <row r="243" spans="1:9" ht="18" customHeight="1">
      <c r="A243" s="16"/>
      <c r="B243" s="16"/>
      <c r="C243" s="16"/>
      <c r="D243" s="25"/>
      <c r="E243" s="25"/>
      <c r="F243" s="16"/>
      <c r="G243" s="25"/>
      <c r="H243" s="16"/>
      <c r="I243" s="17"/>
    </row>
    <row r="244" spans="1:9" ht="18" customHeight="1">
      <c r="A244" s="16"/>
      <c r="B244" s="16"/>
      <c r="C244" s="16"/>
      <c r="D244" s="25"/>
      <c r="E244" s="25"/>
      <c r="F244" s="16"/>
      <c r="G244" s="25"/>
      <c r="H244" s="16"/>
      <c r="I244" s="17"/>
    </row>
    <row r="245" spans="1:9" ht="18" customHeight="1">
      <c r="A245" s="16"/>
      <c r="B245" s="16"/>
      <c r="C245" s="16"/>
      <c r="D245" s="25"/>
      <c r="E245" s="25"/>
      <c r="F245" s="16"/>
      <c r="G245" s="25"/>
      <c r="H245" s="16"/>
      <c r="I245" s="17"/>
    </row>
    <row r="246" spans="1:9" ht="18" customHeight="1">
      <c r="A246" s="16"/>
      <c r="B246" s="16"/>
      <c r="C246" s="16"/>
      <c r="D246" s="25"/>
      <c r="E246" s="25"/>
      <c r="F246" s="16"/>
      <c r="G246" s="25"/>
      <c r="H246" s="16"/>
      <c r="I246" s="17"/>
    </row>
    <row r="247" spans="1:9" ht="18" customHeight="1">
      <c r="A247" s="16"/>
      <c r="B247" s="16"/>
      <c r="C247" s="16"/>
      <c r="D247" s="25"/>
      <c r="E247" s="25"/>
      <c r="F247" s="16"/>
      <c r="G247" s="25"/>
      <c r="H247" s="16"/>
      <c r="I247" s="17"/>
    </row>
    <row r="248" spans="1:9" ht="18" customHeight="1">
      <c r="A248" s="16"/>
      <c r="B248" s="16"/>
      <c r="C248" s="16"/>
      <c r="D248" s="25"/>
      <c r="E248" s="25"/>
      <c r="F248" s="16"/>
      <c r="G248" s="25"/>
      <c r="H248" s="16"/>
      <c r="I248" s="17"/>
    </row>
    <row r="249" spans="1:9" ht="18" customHeight="1">
      <c r="A249" s="16"/>
      <c r="B249" s="16"/>
      <c r="C249" s="16"/>
      <c r="D249" s="25"/>
      <c r="E249" s="25"/>
      <c r="F249" s="16"/>
      <c r="G249" s="25"/>
      <c r="H249" s="16"/>
      <c r="I249" s="17"/>
    </row>
    <row r="250" spans="1:9" ht="18" customHeight="1">
      <c r="A250" s="16"/>
      <c r="B250" s="16"/>
      <c r="C250" s="16"/>
      <c r="D250" s="25"/>
      <c r="E250" s="25"/>
      <c r="F250" s="16"/>
      <c r="G250" s="25"/>
      <c r="H250" s="16"/>
      <c r="I250" s="17"/>
    </row>
    <row r="251" spans="1:9" ht="18" customHeight="1">
      <c r="A251" s="16"/>
      <c r="B251" s="16"/>
      <c r="C251" s="16"/>
      <c r="D251" s="25"/>
      <c r="E251" s="25"/>
      <c r="F251" s="16"/>
      <c r="G251" s="25"/>
      <c r="H251" s="16"/>
      <c r="I251" s="17"/>
    </row>
    <row r="252" spans="1:9" ht="18" customHeight="1">
      <c r="A252" s="16"/>
      <c r="B252" s="16"/>
      <c r="C252" s="16"/>
      <c r="D252" s="25"/>
      <c r="E252" s="25"/>
      <c r="F252" s="16"/>
      <c r="G252" s="25"/>
      <c r="H252" s="16"/>
      <c r="I252" s="17"/>
    </row>
    <row r="253" spans="1:9" ht="18" customHeight="1">
      <c r="A253" s="16"/>
      <c r="B253" s="16"/>
      <c r="C253" s="16"/>
      <c r="D253" s="25"/>
      <c r="E253" s="25"/>
      <c r="F253" s="16"/>
      <c r="G253" s="25"/>
      <c r="H253" s="16"/>
      <c r="I253" s="17"/>
    </row>
    <row r="254" spans="1:9" ht="18" customHeight="1">
      <c r="A254" s="16"/>
      <c r="B254" s="16"/>
      <c r="C254" s="16"/>
      <c r="D254" s="25"/>
      <c r="E254" s="25"/>
      <c r="F254" s="16"/>
      <c r="G254" s="25"/>
      <c r="H254" s="16"/>
      <c r="I254" s="17"/>
    </row>
    <row r="255" spans="1:9" ht="18" customHeight="1">
      <c r="A255" s="16"/>
      <c r="B255" s="16"/>
      <c r="C255" s="16"/>
      <c r="D255" s="25"/>
      <c r="E255" s="25"/>
      <c r="F255" s="16"/>
      <c r="G255" s="25"/>
      <c r="H255" s="16"/>
      <c r="I255" s="17"/>
    </row>
    <row r="256" spans="1:9" ht="18" customHeight="1">
      <c r="A256" s="16"/>
      <c r="B256" s="16"/>
      <c r="C256" s="16"/>
      <c r="D256" s="25"/>
      <c r="E256" s="25"/>
      <c r="F256" s="16"/>
      <c r="G256" s="25"/>
      <c r="H256" s="16"/>
      <c r="I256" s="17"/>
    </row>
    <row r="257" spans="1:9" ht="18" customHeight="1">
      <c r="A257" s="16"/>
      <c r="B257" s="16"/>
      <c r="C257" s="16"/>
      <c r="D257" s="25"/>
      <c r="E257" s="25"/>
      <c r="F257" s="16"/>
      <c r="G257" s="25"/>
      <c r="H257" s="16"/>
      <c r="I257" s="17"/>
    </row>
    <row r="258" spans="1:9" ht="18" customHeight="1">
      <c r="A258" s="16"/>
      <c r="B258" s="16"/>
      <c r="C258" s="16"/>
      <c r="D258" s="25"/>
      <c r="E258" s="25"/>
      <c r="F258" s="16"/>
      <c r="G258" s="25"/>
      <c r="H258" s="16"/>
      <c r="I258" s="17"/>
    </row>
    <row r="259" spans="1:9" ht="18" customHeight="1">
      <c r="A259" s="16"/>
      <c r="B259" s="16"/>
      <c r="C259" s="16"/>
      <c r="D259" s="25"/>
      <c r="E259" s="25"/>
      <c r="F259" s="16"/>
      <c r="G259" s="25"/>
      <c r="H259" s="16"/>
      <c r="I259" s="17"/>
    </row>
    <row r="260" spans="1:9" ht="18" customHeight="1">
      <c r="A260" s="16"/>
      <c r="B260" s="16"/>
      <c r="C260" s="16"/>
      <c r="D260" s="25"/>
      <c r="E260" s="25"/>
      <c r="F260" s="16"/>
      <c r="G260" s="25"/>
      <c r="H260" s="16"/>
      <c r="I260" s="17"/>
    </row>
    <row r="261" spans="1:9" ht="18" customHeight="1">
      <c r="A261" s="16"/>
      <c r="B261" s="16"/>
      <c r="C261" s="16"/>
      <c r="D261" s="25"/>
      <c r="E261" s="25"/>
      <c r="F261" s="16"/>
      <c r="G261" s="25"/>
      <c r="H261" s="16"/>
      <c r="I261" s="17"/>
    </row>
    <row r="262" spans="1:9" ht="18" customHeight="1">
      <c r="A262" s="16"/>
      <c r="B262" s="16"/>
      <c r="C262" s="16"/>
      <c r="D262" s="25"/>
      <c r="E262" s="25"/>
      <c r="F262" s="16"/>
      <c r="G262" s="25"/>
      <c r="H262" s="16"/>
      <c r="I262" s="17"/>
    </row>
    <row r="263" spans="1:9" ht="18" customHeight="1">
      <c r="A263" s="16"/>
      <c r="B263" s="16"/>
      <c r="C263" s="16"/>
      <c r="D263" s="25"/>
      <c r="E263" s="25"/>
      <c r="F263" s="16"/>
      <c r="G263" s="25"/>
      <c r="H263" s="16"/>
      <c r="I263" s="17"/>
    </row>
    <row r="264" spans="1:9" ht="18" customHeight="1">
      <c r="A264" s="16"/>
      <c r="B264" s="16"/>
      <c r="C264" s="16"/>
      <c r="D264" s="25"/>
      <c r="E264" s="25"/>
      <c r="F264" s="16"/>
      <c r="G264" s="25"/>
      <c r="H264" s="16"/>
      <c r="I264" s="17"/>
    </row>
    <row r="265" spans="1:9" ht="18" customHeight="1">
      <c r="A265" s="16"/>
      <c r="B265" s="16"/>
      <c r="C265" s="16"/>
      <c r="D265" s="25"/>
      <c r="E265" s="25"/>
      <c r="F265" s="16"/>
      <c r="G265" s="25"/>
      <c r="H265" s="16"/>
      <c r="I265" s="17"/>
    </row>
    <row r="266" spans="1:9" ht="18" customHeight="1">
      <c r="A266" s="16"/>
      <c r="B266" s="16"/>
      <c r="C266" s="16"/>
      <c r="D266" s="25"/>
      <c r="E266" s="25"/>
      <c r="F266" s="16"/>
      <c r="G266" s="25"/>
      <c r="H266" s="16"/>
      <c r="I266" s="17"/>
    </row>
    <row r="267" spans="1:9" ht="18" customHeight="1">
      <c r="A267" s="16"/>
      <c r="B267" s="16"/>
      <c r="C267" s="16"/>
      <c r="D267" s="25"/>
      <c r="E267" s="25"/>
      <c r="F267" s="16"/>
      <c r="G267" s="25"/>
      <c r="H267" s="16"/>
      <c r="I267" s="17"/>
    </row>
    <row r="268" spans="1:9" ht="18" customHeight="1">
      <c r="A268" s="16"/>
      <c r="B268" s="16"/>
      <c r="C268" s="16"/>
      <c r="D268" s="25"/>
      <c r="E268" s="25"/>
      <c r="F268" s="16"/>
      <c r="G268" s="25"/>
      <c r="H268" s="16"/>
      <c r="I268" s="17"/>
    </row>
    <row r="269" spans="1:9" ht="18" customHeight="1">
      <c r="A269" s="16"/>
      <c r="B269" s="16"/>
      <c r="C269" s="16"/>
      <c r="D269" s="25"/>
      <c r="E269" s="25"/>
      <c r="F269" s="16"/>
      <c r="G269" s="25"/>
      <c r="H269" s="16"/>
      <c r="I269" s="17"/>
    </row>
    <row r="270" spans="1:9" ht="18" customHeight="1">
      <c r="A270" s="16"/>
      <c r="B270" s="16"/>
      <c r="C270" s="16"/>
      <c r="D270" s="25"/>
      <c r="E270" s="25"/>
      <c r="F270" s="16"/>
      <c r="G270" s="25"/>
      <c r="H270" s="16"/>
      <c r="I270" s="17"/>
    </row>
    <row r="271" spans="1:9" ht="18" customHeight="1">
      <c r="A271" s="16"/>
      <c r="B271" s="16"/>
      <c r="C271" s="16"/>
      <c r="D271" s="25"/>
      <c r="E271" s="25"/>
      <c r="F271" s="16"/>
      <c r="G271" s="25"/>
      <c r="H271" s="16"/>
      <c r="I271" s="17"/>
    </row>
    <row r="272" spans="1:9" ht="18" customHeight="1">
      <c r="A272" s="16"/>
      <c r="B272" s="16"/>
      <c r="C272" s="16"/>
      <c r="D272" s="25"/>
      <c r="E272" s="25"/>
      <c r="F272" s="16"/>
      <c r="G272" s="25"/>
      <c r="H272" s="16"/>
      <c r="I272" s="17"/>
    </row>
    <row r="273" spans="1:9" ht="18" customHeight="1">
      <c r="A273" s="16"/>
      <c r="B273" s="16"/>
      <c r="C273" s="16"/>
      <c r="D273" s="25"/>
      <c r="E273" s="25"/>
      <c r="F273" s="16"/>
      <c r="G273" s="25"/>
      <c r="H273" s="16"/>
      <c r="I273" s="17"/>
    </row>
    <row r="274" spans="1:9" ht="18" customHeight="1">
      <c r="A274" s="16"/>
      <c r="B274" s="16"/>
      <c r="C274" s="16"/>
      <c r="D274" s="25"/>
      <c r="E274" s="25"/>
      <c r="F274" s="16"/>
      <c r="G274" s="25"/>
      <c r="H274" s="16"/>
      <c r="I274" s="17"/>
    </row>
    <row r="275" spans="1:9" ht="18" customHeight="1">
      <c r="A275" s="16"/>
      <c r="B275" s="16"/>
      <c r="C275" s="16"/>
      <c r="D275" s="25"/>
      <c r="E275" s="25"/>
      <c r="F275" s="16"/>
      <c r="G275" s="25"/>
      <c r="H275" s="16"/>
      <c r="I275" s="17"/>
    </row>
    <row r="276" spans="1:9" ht="18" customHeight="1">
      <c r="A276" s="16"/>
      <c r="B276" s="16"/>
      <c r="C276" s="16"/>
      <c r="D276" s="25"/>
      <c r="E276" s="25"/>
      <c r="F276" s="16"/>
      <c r="G276" s="25"/>
      <c r="H276" s="16"/>
      <c r="I276" s="17"/>
    </row>
    <row r="277" spans="1:9" ht="18" customHeight="1">
      <c r="A277" s="16"/>
      <c r="B277" s="16"/>
      <c r="C277" s="16"/>
      <c r="D277" s="25"/>
      <c r="E277" s="25"/>
      <c r="F277" s="16"/>
      <c r="G277" s="25"/>
      <c r="H277" s="16"/>
      <c r="I277" s="17"/>
    </row>
    <row r="278" spans="1:9" ht="18" customHeight="1">
      <c r="A278" s="16"/>
      <c r="B278" s="16"/>
      <c r="C278" s="16"/>
      <c r="D278" s="25"/>
      <c r="E278" s="25"/>
      <c r="F278" s="16"/>
      <c r="G278" s="25"/>
      <c r="H278" s="16"/>
      <c r="I278" s="17"/>
    </row>
    <row r="279" spans="1:9" ht="18" customHeight="1">
      <c r="A279" s="16"/>
      <c r="B279" s="16"/>
      <c r="C279" s="16"/>
      <c r="D279" s="25"/>
      <c r="E279" s="25"/>
      <c r="F279" s="16"/>
      <c r="G279" s="25"/>
      <c r="H279" s="16"/>
      <c r="I279" s="17"/>
    </row>
    <row r="280" spans="1:9" ht="18" customHeight="1">
      <c r="A280" s="16"/>
      <c r="B280" s="16"/>
      <c r="C280" s="16"/>
      <c r="D280" s="25"/>
      <c r="E280" s="25"/>
      <c r="F280" s="16"/>
      <c r="G280" s="25"/>
      <c r="H280" s="16"/>
      <c r="I280" s="17"/>
    </row>
    <row r="281" spans="1:9" ht="18" customHeight="1">
      <c r="A281" s="16"/>
      <c r="B281" s="16"/>
      <c r="C281" s="16"/>
      <c r="D281" s="25"/>
      <c r="E281" s="25"/>
      <c r="F281" s="16"/>
      <c r="G281" s="25"/>
      <c r="H281" s="16"/>
      <c r="I281" s="17"/>
    </row>
    <row r="282" spans="1:9" ht="18" customHeight="1">
      <c r="A282" s="16"/>
      <c r="B282" s="16"/>
      <c r="C282" s="16"/>
      <c r="D282" s="25"/>
      <c r="E282" s="25"/>
      <c r="F282" s="16"/>
      <c r="G282" s="25"/>
      <c r="H282" s="16"/>
      <c r="I282" s="17"/>
    </row>
    <row r="283" spans="1:9" ht="18" customHeight="1">
      <c r="A283" s="16"/>
      <c r="B283" s="16"/>
      <c r="C283" s="16"/>
      <c r="D283" s="25"/>
      <c r="E283" s="25"/>
      <c r="F283" s="16"/>
      <c r="G283" s="25"/>
      <c r="H283" s="16"/>
      <c r="I283" s="17"/>
    </row>
    <row r="284" spans="1:9" ht="18" customHeight="1">
      <c r="A284" s="16"/>
      <c r="B284" s="16"/>
      <c r="C284" s="16"/>
      <c r="D284" s="25"/>
      <c r="E284" s="25"/>
      <c r="F284" s="16"/>
      <c r="G284" s="25"/>
      <c r="H284" s="16"/>
      <c r="I284" s="17"/>
    </row>
    <row r="285" spans="1:9" ht="18" customHeight="1">
      <c r="A285" s="16"/>
      <c r="B285" s="16"/>
      <c r="C285" s="16"/>
      <c r="D285" s="25"/>
      <c r="E285" s="25"/>
      <c r="F285" s="16"/>
      <c r="G285" s="25"/>
      <c r="H285" s="16"/>
      <c r="I285" s="17"/>
    </row>
    <row r="286" spans="1:9" ht="18" customHeight="1">
      <c r="A286" s="16"/>
      <c r="B286" s="16"/>
      <c r="C286" s="16"/>
      <c r="D286" s="25"/>
      <c r="E286" s="25"/>
      <c r="F286" s="16"/>
      <c r="G286" s="25"/>
      <c r="H286" s="16"/>
      <c r="I286" s="17"/>
    </row>
    <row r="287" spans="1:9" ht="18" customHeight="1">
      <c r="A287" s="16"/>
      <c r="B287" s="16"/>
      <c r="C287" s="16"/>
      <c r="D287" s="25"/>
      <c r="E287" s="25"/>
      <c r="F287" s="16"/>
      <c r="G287" s="25"/>
      <c r="H287" s="16"/>
      <c r="I287" s="17"/>
    </row>
    <row r="288" spans="1:9" ht="18" customHeight="1">
      <c r="A288" s="16"/>
      <c r="B288" s="16"/>
      <c r="C288" s="16"/>
      <c r="D288" s="25"/>
      <c r="E288" s="25"/>
      <c r="F288" s="16"/>
      <c r="G288" s="25"/>
      <c r="H288" s="16"/>
      <c r="I288" s="17"/>
    </row>
    <row r="289" spans="1:9" ht="18" customHeight="1">
      <c r="A289" s="16"/>
      <c r="B289" s="16"/>
      <c r="C289" s="16"/>
      <c r="D289" s="25"/>
      <c r="E289" s="25"/>
      <c r="F289" s="16"/>
      <c r="G289" s="25"/>
      <c r="H289" s="16"/>
      <c r="I289" s="17"/>
    </row>
    <row r="290" spans="1:9" ht="18" customHeight="1">
      <c r="A290" s="16"/>
      <c r="B290" s="16"/>
      <c r="C290" s="16"/>
      <c r="D290" s="25"/>
      <c r="E290" s="25"/>
      <c r="F290" s="16"/>
      <c r="G290" s="25"/>
      <c r="H290" s="16"/>
      <c r="I290" s="17"/>
    </row>
    <row r="291" spans="1:9" ht="18" customHeight="1">
      <c r="A291" s="16"/>
      <c r="B291" s="16"/>
      <c r="C291" s="16"/>
      <c r="D291" s="25"/>
      <c r="E291" s="25"/>
      <c r="F291" s="16"/>
      <c r="G291" s="25"/>
      <c r="H291" s="16"/>
      <c r="I291" s="17"/>
    </row>
    <row r="292" spans="1:9" ht="18" customHeight="1">
      <c r="A292" s="16"/>
      <c r="B292" s="16"/>
      <c r="C292" s="16"/>
      <c r="D292" s="25"/>
      <c r="E292" s="25"/>
      <c r="F292" s="16"/>
      <c r="G292" s="25"/>
      <c r="H292" s="16"/>
      <c r="I292" s="17"/>
    </row>
    <row r="293" spans="1:9" ht="18" customHeight="1">
      <c r="A293" s="16"/>
      <c r="B293" s="16"/>
      <c r="C293" s="16"/>
      <c r="D293" s="25"/>
      <c r="E293" s="25"/>
      <c r="F293" s="16"/>
      <c r="G293" s="25"/>
      <c r="H293" s="16"/>
      <c r="I293" s="17"/>
    </row>
    <row r="294" spans="1:9" ht="18" customHeight="1">
      <c r="A294" s="16"/>
      <c r="B294" s="16"/>
      <c r="C294" s="16"/>
      <c r="D294" s="25"/>
      <c r="E294" s="25"/>
      <c r="F294" s="16"/>
      <c r="G294" s="25"/>
      <c r="H294" s="16"/>
      <c r="I294" s="17"/>
    </row>
    <row r="295" spans="1:9" ht="18" customHeight="1">
      <c r="A295" s="16"/>
      <c r="B295" s="16"/>
      <c r="C295" s="16"/>
      <c r="D295" s="25"/>
      <c r="E295" s="25"/>
      <c r="F295" s="16"/>
      <c r="G295" s="25"/>
      <c r="H295" s="16"/>
      <c r="I295" s="17"/>
    </row>
    <row r="296" spans="1:9" ht="18" customHeight="1">
      <c r="A296" s="16"/>
      <c r="B296" s="16"/>
      <c r="C296" s="16"/>
      <c r="D296" s="25"/>
      <c r="E296" s="25"/>
      <c r="F296" s="16"/>
      <c r="G296" s="25"/>
      <c r="H296" s="16"/>
      <c r="I296" s="17"/>
    </row>
    <row r="297" spans="1:9" ht="18" customHeight="1">
      <c r="A297" s="16"/>
      <c r="B297" s="16"/>
      <c r="C297" s="16"/>
      <c r="D297" s="25"/>
      <c r="E297" s="25"/>
      <c r="F297" s="16"/>
      <c r="G297" s="25"/>
      <c r="H297" s="16"/>
      <c r="I297" s="17"/>
    </row>
    <row r="298" spans="1:9" ht="18" customHeight="1">
      <c r="A298" s="16"/>
      <c r="B298" s="16"/>
      <c r="C298" s="16"/>
      <c r="D298" s="25"/>
      <c r="E298" s="25"/>
      <c r="F298" s="16"/>
      <c r="G298" s="25"/>
      <c r="H298" s="16"/>
      <c r="I298" s="17"/>
    </row>
    <row r="299" spans="1:9" ht="18" customHeight="1">
      <c r="A299" s="16"/>
      <c r="B299" s="16"/>
      <c r="C299" s="16"/>
      <c r="D299" s="25"/>
      <c r="E299" s="25"/>
      <c r="F299" s="16"/>
      <c r="G299" s="25"/>
      <c r="H299" s="16"/>
      <c r="I299" s="17"/>
    </row>
    <row r="300" spans="1:9" ht="18" customHeight="1">
      <c r="A300" s="16"/>
      <c r="B300" s="16"/>
      <c r="C300" s="16"/>
      <c r="D300" s="25"/>
      <c r="E300" s="25"/>
      <c r="F300" s="16"/>
      <c r="G300" s="25"/>
      <c r="H300" s="16"/>
      <c r="I300" s="17"/>
    </row>
    <row r="301" spans="1:9" ht="18" customHeight="1">
      <c r="A301" s="16"/>
      <c r="B301" s="16"/>
      <c r="C301" s="16"/>
      <c r="D301" s="25"/>
      <c r="E301" s="25"/>
      <c r="F301" s="16"/>
      <c r="G301" s="25"/>
      <c r="H301" s="16"/>
      <c r="I301" s="17"/>
    </row>
    <row r="302" spans="1:9" ht="18" customHeight="1">
      <c r="A302" s="16"/>
      <c r="B302" s="16"/>
      <c r="C302" s="16"/>
      <c r="D302" s="25"/>
      <c r="E302" s="25"/>
      <c r="F302" s="16"/>
      <c r="G302" s="25"/>
      <c r="H302" s="16"/>
      <c r="I302" s="17"/>
    </row>
    <row r="303" spans="1:9" ht="18" customHeight="1">
      <c r="A303" s="16"/>
      <c r="B303" s="16"/>
      <c r="C303" s="16"/>
      <c r="D303" s="25"/>
      <c r="E303" s="25"/>
      <c r="F303" s="16"/>
      <c r="G303" s="25"/>
      <c r="H303" s="16"/>
      <c r="I303" s="17"/>
    </row>
    <row r="304" spans="1:9" ht="18" customHeight="1">
      <c r="A304" s="16"/>
      <c r="B304" s="16"/>
      <c r="C304" s="16"/>
      <c r="D304" s="25"/>
      <c r="E304" s="25"/>
      <c r="F304" s="16"/>
      <c r="G304" s="25"/>
      <c r="H304" s="16"/>
      <c r="I304" s="17"/>
    </row>
    <row r="305" spans="1:9" ht="18" customHeight="1">
      <c r="A305" s="16"/>
      <c r="B305" s="16"/>
      <c r="C305" s="16"/>
      <c r="D305" s="25"/>
      <c r="E305" s="25"/>
      <c r="F305" s="16"/>
      <c r="G305" s="25"/>
      <c r="H305" s="16"/>
      <c r="I305" s="17"/>
    </row>
    <row r="306" spans="1:9" ht="18" customHeight="1">
      <c r="A306" s="16"/>
      <c r="B306" s="16"/>
      <c r="C306" s="16"/>
      <c r="D306" s="25"/>
      <c r="E306" s="25"/>
      <c r="F306" s="16"/>
      <c r="G306" s="25"/>
      <c r="H306" s="16"/>
      <c r="I306" s="17"/>
    </row>
    <row r="307" spans="1:9" ht="18" customHeight="1">
      <c r="A307" s="16"/>
      <c r="B307" s="16"/>
      <c r="C307" s="16"/>
      <c r="D307" s="25"/>
      <c r="E307" s="25"/>
      <c r="F307" s="16"/>
      <c r="G307" s="25"/>
      <c r="H307" s="16"/>
      <c r="I307" s="17"/>
    </row>
    <row r="308" spans="1:9" ht="18" customHeight="1">
      <c r="A308" s="16"/>
      <c r="B308" s="16"/>
      <c r="C308" s="16"/>
      <c r="D308" s="25"/>
      <c r="E308" s="25"/>
      <c r="F308" s="16"/>
      <c r="G308" s="25"/>
      <c r="H308" s="16"/>
      <c r="I308" s="17"/>
    </row>
    <row r="309" spans="1:9" ht="18" customHeight="1">
      <c r="A309" s="16"/>
      <c r="B309" s="16"/>
      <c r="C309" s="16"/>
      <c r="D309" s="25"/>
      <c r="E309" s="25"/>
      <c r="F309" s="16"/>
      <c r="G309" s="25"/>
      <c r="H309" s="16"/>
      <c r="I309" s="17"/>
    </row>
    <row r="310" spans="1:9" ht="18" customHeight="1">
      <c r="A310" s="16"/>
      <c r="B310" s="16"/>
      <c r="C310" s="16"/>
      <c r="D310" s="25"/>
      <c r="E310" s="25"/>
      <c r="F310" s="16"/>
      <c r="G310" s="25"/>
      <c r="H310" s="16"/>
      <c r="I310" s="17"/>
    </row>
    <row r="311" spans="1:9" ht="18" customHeight="1">
      <c r="A311" s="16"/>
      <c r="B311" s="16"/>
      <c r="C311" s="16"/>
      <c r="D311" s="25"/>
      <c r="E311" s="25"/>
      <c r="F311" s="16"/>
      <c r="G311" s="25"/>
      <c r="H311" s="16"/>
      <c r="I311" s="17"/>
    </row>
    <row r="312" spans="1:9" ht="18" customHeight="1">
      <c r="A312" s="16"/>
      <c r="B312" s="16"/>
      <c r="C312" s="16"/>
      <c r="D312" s="25"/>
      <c r="E312" s="25"/>
      <c r="F312" s="16"/>
      <c r="G312" s="25"/>
      <c r="H312" s="16"/>
      <c r="I312" s="17"/>
    </row>
    <row r="313" spans="1:9" ht="18" customHeight="1">
      <c r="A313" s="16"/>
      <c r="B313" s="16"/>
      <c r="C313" s="16"/>
      <c r="D313" s="25"/>
      <c r="E313" s="25"/>
      <c r="F313" s="16"/>
      <c r="G313" s="25"/>
      <c r="H313" s="16"/>
      <c r="I313" s="17"/>
    </row>
    <row r="314" spans="1:9" ht="18" customHeight="1">
      <c r="A314" s="16"/>
      <c r="B314" s="16"/>
      <c r="C314" s="16"/>
      <c r="D314" s="25"/>
      <c r="E314" s="25"/>
      <c r="F314" s="16"/>
      <c r="G314" s="25"/>
      <c r="H314" s="16"/>
      <c r="I314" s="17"/>
    </row>
    <row r="315" spans="1:9" ht="18" customHeight="1">
      <c r="A315" s="16"/>
      <c r="B315" s="16"/>
      <c r="C315" s="16"/>
      <c r="D315" s="25"/>
      <c r="E315" s="25"/>
      <c r="F315" s="16"/>
      <c r="G315" s="25"/>
      <c r="H315" s="16"/>
      <c r="I315" s="17"/>
    </row>
    <row r="316" spans="1:9" ht="18" customHeight="1">
      <c r="A316" s="16"/>
      <c r="B316" s="16"/>
      <c r="C316" s="16"/>
      <c r="D316" s="25"/>
      <c r="E316" s="25"/>
      <c r="F316" s="16"/>
      <c r="G316" s="25"/>
      <c r="H316" s="16"/>
      <c r="I316" s="17"/>
    </row>
    <row r="317" spans="1:9" ht="18" customHeight="1">
      <c r="A317" s="16"/>
      <c r="B317" s="16"/>
      <c r="C317" s="16"/>
      <c r="D317" s="25"/>
      <c r="E317" s="25"/>
      <c r="F317" s="16"/>
      <c r="G317" s="25"/>
      <c r="H317" s="16"/>
      <c r="I317" s="17"/>
    </row>
    <row r="318" spans="1:9" ht="18" customHeight="1">
      <c r="A318" s="16"/>
      <c r="B318" s="16"/>
      <c r="C318" s="16"/>
      <c r="D318" s="25"/>
      <c r="E318" s="25"/>
      <c r="F318" s="16"/>
      <c r="G318" s="25"/>
      <c r="H318" s="16"/>
      <c r="I318" s="17"/>
    </row>
    <row r="319" spans="1:9" ht="18" customHeight="1">
      <c r="A319" s="16"/>
      <c r="B319" s="16"/>
      <c r="C319" s="16"/>
      <c r="D319" s="25"/>
      <c r="E319" s="25"/>
      <c r="F319" s="16"/>
      <c r="G319" s="25"/>
      <c r="H319" s="16"/>
      <c r="I319" s="17"/>
    </row>
    <row r="320" spans="1:9" ht="18" customHeight="1">
      <c r="A320" s="16"/>
      <c r="B320" s="16"/>
      <c r="C320" s="16"/>
      <c r="D320" s="25"/>
      <c r="E320" s="25"/>
      <c r="F320" s="16"/>
      <c r="G320" s="25"/>
      <c r="H320" s="16"/>
      <c r="I320" s="17"/>
    </row>
    <row r="321" spans="1:9" ht="18" customHeight="1">
      <c r="A321" s="16"/>
      <c r="B321" s="16"/>
      <c r="C321" s="16"/>
      <c r="D321" s="25"/>
      <c r="E321" s="25"/>
      <c r="F321" s="16"/>
      <c r="G321" s="25"/>
      <c r="H321" s="16"/>
      <c r="I321" s="17"/>
    </row>
    <row r="322" spans="1:9" ht="18" customHeight="1">
      <c r="A322" s="16"/>
      <c r="B322" s="16"/>
      <c r="C322" s="16"/>
      <c r="D322" s="25"/>
      <c r="E322" s="25"/>
      <c r="F322" s="16"/>
      <c r="G322" s="25"/>
      <c r="H322" s="16"/>
      <c r="I322" s="17"/>
    </row>
    <row r="323" spans="1:9" ht="18" customHeight="1">
      <c r="A323" s="16"/>
      <c r="B323" s="16"/>
      <c r="C323" s="16"/>
      <c r="D323" s="25"/>
      <c r="E323" s="25"/>
      <c r="F323" s="16"/>
      <c r="G323" s="25"/>
      <c r="H323" s="16"/>
      <c r="I323" s="17"/>
    </row>
    <row r="324" spans="1:9" ht="18" customHeight="1">
      <c r="A324" s="16"/>
      <c r="B324" s="16"/>
      <c r="C324" s="16"/>
      <c r="D324" s="25"/>
      <c r="E324" s="25"/>
      <c r="F324" s="16"/>
      <c r="G324" s="25"/>
      <c r="H324" s="16"/>
      <c r="I324" s="17"/>
    </row>
    <row r="325" spans="1:9" ht="18" customHeight="1">
      <c r="A325" s="16"/>
      <c r="B325" s="16"/>
      <c r="C325" s="16"/>
      <c r="D325" s="25"/>
      <c r="E325" s="25"/>
      <c r="F325" s="16"/>
      <c r="G325" s="25"/>
      <c r="H325" s="16"/>
      <c r="I325" s="17"/>
    </row>
    <row r="326" spans="1:9" ht="18" customHeight="1">
      <c r="A326" s="16"/>
      <c r="B326" s="16"/>
      <c r="C326" s="16"/>
      <c r="D326" s="25"/>
      <c r="E326" s="25"/>
      <c r="F326" s="16"/>
      <c r="G326" s="25"/>
      <c r="H326" s="16"/>
      <c r="I326" s="17"/>
    </row>
    <row r="327" spans="1:9" ht="18" customHeight="1">
      <c r="A327" s="16"/>
      <c r="B327" s="16"/>
      <c r="C327" s="16"/>
      <c r="D327" s="25"/>
      <c r="E327" s="25"/>
      <c r="F327" s="16"/>
      <c r="G327" s="25"/>
      <c r="H327" s="16"/>
      <c r="I327" s="17"/>
    </row>
    <row r="328" spans="1:9" ht="18" customHeight="1">
      <c r="A328" s="16"/>
      <c r="B328" s="16"/>
      <c r="C328" s="16"/>
      <c r="D328" s="25"/>
      <c r="E328" s="25"/>
      <c r="F328" s="16"/>
      <c r="G328" s="25"/>
      <c r="H328" s="16"/>
      <c r="I328" s="17"/>
    </row>
    <row r="329" spans="1:9" ht="18" customHeight="1">
      <c r="A329" s="16"/>
      <c r="B329" s="16"/>
      <c r="C329" s="16"/>
      <c r="D329" s="25"/>
      <c r="E329" s="25"/>
      <c r="F329" s="16"/>
      <c r="G329" s="25"/>
      <c r="H329" s="16"/>
      <c r="I329" s="17"/>
    </row>
    <row r="330" spans="1:9" ht="18" customHeight="1">
      <c r="A330" s="16"/>
      <c r="B330" s="16"/>
      <c r="C330" s="16"/>
      <c r="D330" s="25"/>
      <c r="E330" s="25"/>
      <c r="F330" s="16"/>
      <c r="G330" s="25"/>
      <c r="H330" s="16"/>
      <c r="I330" s="17"/>
    </row>
    <row r="331" spans="1:9" ht="18" customHeight="1">
      <c r="A331" s="16"/>
      <c r="B331" s="16"/>
      <c r="C331" s="16"/>
      <c r="D331" s="25"/>
      <c r="E331" s="25"/>
      <c r="F331" s="16"/>
      <c r="G331" s="25"/>
      <c r="H331" s="16"/>
      <c r="I331" s="17"/>
    </row>
    <row r="332" spans="1:9" ht="18" customHeight="1">
      <c r="A332" s="16"/>
      <c r="B332" s="16"/>
      <c r="C332" s="16"/>
      <c r="D332" s="25"/>
      <c r="E332" s="25"/>
      <c r="F332" s="16"/>
      <c r="G332" s="25"/>
      <c r="H332" s="16"/>
      <c r="I332" s="17"/>
    </row>
    <row r="333" spans="1:9" ht="18" customHeight="1">
      <c r="A333" s="16"/>
      <c r="B333" s="16"/>
      <c r="C333" s="16"/>
      <c r="D333" s="25"/>
      <c r="E333" s="25"/>
      <c r="F333" s="16"/>
      <c r="G333" s="25"/>
      <c r="H333" s="16"/>
      <c r="I333" s="17"/>
    </row>
    <row r="334" spans="1:9" ht="18" customHeight="1">
      <c r="A334" s="16"/>
      <c r="B334" s="16"/>
      <c r="C334" s="16"/>
      <c r="D334" s="25"/>
      <c r="E334" s="25"/>
      <c r="F334" s="16"/>
      <c r="G334" s="25"/>
      <c r="H334" s="16"/>
      <c r="I334" s="17"/>
    </row>
    <row r="335" spans="1:9" ht="18" customHeight="1">
      <c r="A335" s="16"/>
      <c r="B335" s="16"/>
      <c r="C335" s="16"/>
      <c r="D335" s="25"/>
      <c r="E335" s="25"/>
      <c r="F335" s="16"/>
      <c r="G335" s="25"/>
      <c r="H335" s="16"/>
      <c r="I335" s="17"/>
    </row>
    <row r="336" spans="1:9" ht="18" customHeight="1">
      <c r="A336" s="16"/>
      <c r="B336" s="16"/>
      <c r="C336" s="16"/>
      <c r="D336" s="25"/>
      <c r="E336" s="25"/>
      <c r="F336" s="16"/>
      <c r="G336" s="25"/>
      <c r="H336" s="16"/>
      <c r="I336" s="17"/>
    </row>
    <row r="337" spans="1:9" ht="18" customHeight="1">
      <c r="A337" s="16"/>
      <c r="B337" s="16"/>
      <c r="C337" s="16"/>
      <c r="D337" s="25"/>
      <c r="E337" s="25"/>
      <c r="F337" s="16"/>
      <c r="G337" s="25"/>
      <c r="H337" s="16"/>
      <c r="I337" s="17"/>
    </row>
    <row r="338" spans="1:9" ht="18" customHeight="1">
      <c r="A338" s="16"/>
      <c r="B338" s="16"/>
      <c r="C338" s="16"/>
      <c r="D338" s="25"/>
      <c r="E338" s="25"/>
      <c r="F338" s="16"/>
      <c r="G338" s="25"/>
      <c r="H338" s="16"/>
      <c r="I338" s="17"/>
    </row>
    <row r="339" spans="1:9" ht="18" customHeight="1">
      <c r="A339" s="16"/>
      <c r="B339" s="16"/>
      <c r="C339" s="16"/>
      <c r="D339" s="25"/>
      <c r="E339" s="25"/>
      <c r="F339" s="16"/>
      <c r="G339" s="25"/>
      <c r="H339" s="16"/>
      <c r="I339" s="17"/>
    </row>
    <row r="340" spans="1:9" ht="18" customHeight="1">
      <c r="A340" s="16"/>
      <c r="B340" s="16"/>
      <c r="C340" s="16"/>
      <c r="D340" s="25"/>
      <c r="E340" s="25"/>
      <c r="F340" s="16"/>
      <c r="G340" s="25"/>
      <c r="H340" s="16"/>
      <c r="I340" s="17"/>
    </row>
    <row r="341" spans="1:9" ht="18" customHeight="1">
      <c r="A341" s="16"/>
      <c r="B341" s="16"/>
      <c r="C341" s="16"/>
      <c r="D341" s="25"/>
      <c r="E341" s="25"/>
      <c r="F341" s="16"/>
      <c r="G341" s="25"/>
      <c r="H341" s="16"/>
      <c r="I341" s="17"/>
    </row>
    <row r="342" spans="1:9" ht="18" customHeight="1">
      <c r="A342" s="16"/>
      <c r="B342" s="16"/>
      <c r="C342" s="16"/>
      <c r="D342" s="25"/>
      <c r="E342" s="25"/>
      <c r="F342" s="16"/>
      <c r="G342" s="25"/>
      <c r="H342" s="16"/>
      <c r="I342" s="17"/>
    </row>
    <row r="343" spans="1:9" ht="18" customHeight="1">
      <c r="A343" s="16"/>
      <c r="B343" s="16"/>
      <c r="C343" s="16"/>
      <c r="D343" s="25"/>
      <c r="E343" s="25"/>
      <c r="F343" s="16"/>
      <c r="G343" s="25"/>
      <c r="H343" s="16"/>
      <c r="I343" s="17"/>
    </row>
    <row r="344" spans="1:9" ht="18" customHeight="1">
      <c r="A344" s="16"/>
      <c r="B344" s="16"/>
      <c r="C344" s="16"/>
      <c r="D344" s="25"/>
      <c r="E344" s="25"/>
      <c r="F344" s="16"/>
      <c r="G344" s="25"/>
      <c r="H344" s="16"/>
      <c r="I344" s="17"/>
    </row>
    <row r="345" spans="1:9" ht="18" customHeight="1">
      <c r="A345" s="16"/>
      <c r="B345" s="16"/>
      <c r="C345" s="16"/>
      <c r="D345" s="25"/>
      <c r="E345" s="25"/>
      <c r="F345" s="16"/>
      <c r="G345" s="25"/>
      <c r="H345" s="16"/>
      <c r="I345" s="17"/>
    </row>
    <row r="346" spans="1:9" ht="18" customHeight="1">
      <c r="A346" s="16"/>
      <c r="B346" s="16"/>
      <c r="C346" s="16"/>
      <c r="D346" s="25"/>
      <c r="E346" s="25"/>
      <c r="F346" s="16"/>
      <c r="G346" s="25"/>
      <c r="H346" s="16"/>
      <c r="I346" s="17"/>
    </row>
    <row r="347" spans="1:9" ht="18" customHeight="1">
      <c r="A347" s="16"/>
      <c r="B347" s="16"/>
      <c r="C347" s="16"/>
      <c r="D347" s="25"/>
      <c r="E347" s="25"/>
      <c r="F347" s="16"/>
      <c r="G347" s="25"/>
      <c r="H347" s="16"/>
      <c r="I347" s="17"/>
    </row>
    <row r="348" spans="1:9" ht="18" customHeight="1">
      <c r="A348" s="16"/>
      <c r="B348" s="16"/>
      <c r="C348" s="16"/>
      <c r="D348" s="25"/>
      <c r="E348" s="25"/>
      <c r="F348" s="16"/>
      <c r="G348" s="25"/>
      <c r="H348" s="16"/>
      <c r="I348" s="17"/>
    </row>
    <row r="349" spans="1:9" ht="18" customHeight="1">
      <c r="A349" s="16"/>
      <c r="B349" s="16"/>
      <c r="C349" s="16"/>
      <c r="D349" s="25"/>
      <c r="E349" s="25"/>
      <c r="F349" s="16"/>
      <c r="G349" s="25"/>
      <c r="H349" s="16"/>
      <c r="I349" s="17"/>
    </row>
    <row r="350" spans="1:9" ht="18" customHeight="1">
      <c r="A350" s="16"/>
      <c r="B350" s="16"/>
      <c r="C350" s="16"/>
      <c r="D350" s="25"/>
      <c r="E350" s="25"/>
      <c r="F350" s="16"/>
      <c r="G350" s="25"/>
      <c r="H350" s="16"/>
      <c r="I350" s="17"/>
    </row>
    <row r="351" spans="1:9" ht="18" customHeight="1">
      <c r="A351" s="16"/>
      <c r="B351" s="16"/>
      <c r="C351" s="16"/>
      <c r="D351" s="25"/>
      <c r="E351" s="25"/>
      <c r="F351" s="16"/>
      <c r="G351" s="25"/>
      <c r="H351" s="16"/>
      <c r="I351" s="17"/>
    </row>
    <row r="352" spans="1:9" ht="18" customHeight="1">
      <c r="A352" s="16"/>
      <c r="B352" s="16"/>
      <c r="C352" s="16"/>
      <c r="D352" s="25"/>
      <c r="E352" s="25"/>
      <c r="F352" s="16"/>
      <c r="G352" s="25"/>
      <c r="H352" s="16"/>
      <c r="I352" s="17"/>
    </row>
    <row r="353" spans="1:9" ht="18" customHeight="1">
      <c r="A353" s="16"/>
      <c r="B353" s="16"/>
      <c r="C353" s="16"/>
      <c r="D353" s="25"/>
      <c r="E353" s="25"/>
      <c r="F353" s="16"/>
      <c r="G353" s="25"/>
      <c r="H353" s="16"/>
      <c r="I353" s="17"/>
    </row>
    <row r="354" spans="1:9" ht="18" customHeight="1">
      <c r="A354" s="16"/>
      <c r="B354" s="16"/>
      <c r="C354" s="16"/>
      <c r="D354" s="25"/>
      <c r="E354" s="25"/>
      <c r="F354" s="16"/>
      <c r="G354" s="25"/>
      <c r="H354" s="16"/>
      <c r="I354" s="17"/>
    </row>
    <row r="355" spans="1:9" ht="18" customHeight="1">
      <c r="A355" s="16"/>
      <c r="B355" s="16"/>
      <c r="C355" s="16"/>
      <c r="D355" s="25"/>
      <c r="E355" s="25"/>
      <c r="F355" s="16"/>
      <c r="G355" s="25"/>
      <c r="H355" s="16"/>
      <c r="I355" s="17"/>
    </row>
    <row r="356" spans="1:9" ht="18" customHeight="1">
      <c r="A356" s="16"/>
      <c r="B356" s="16"/>
      <c r="C356" s="16"/>
      <c r="D356" s="25"/>
      <c r="E356" s="25"/>
      <c r="F356" s="16"/>
      <c r="G356" s="25"/>
      <c r="H356" s="16"/>
      <c r="I356" s="17"/>
    </row>
    <row r="357" spans="1:9" ht="18" customHeight="1">
      <c r="A357" s="16"/>
      <c r="B357" s="16"/>
      <c r="C357" s="16"/>
      <c r="D357" s="25"/>
      <c r="E357" s="25"/>
      <c r="F357" s="16"/>
      <c r="G357" s="25"/>
      <c r="H357" s="16"/>
      <c r="I357" s="17"/>
    </row>
    <row r="358" spans="1:9" ht="18" customHeight="1">
      <c r="A358" s="16"/>
      <c r="B358" s="16"/>
      <c r="C358" s="16"/>
      <c r="D358" s="25"/>
      <c r="E358" s="25"/>
      <c r="F358" s="16"/>
      <c r="G358" s="25"/>
      <c r="H358" s="16"/>
      <c r="I358" s="17"/>
    </row>
    <row r="359" spans="1:9" ht="18" customHeight="1">
      <c r="A359" s="16"/>
      <c r="B359" s="16"/>
      <c r="C359" s="16"/>
      <c r="D359" s="25"/>
      <c r="E359" s="25"/>
      <c r="F359" s="16"/>
      <c r="G359" s="25"/>
      <c r="H359" s="16"/>
      <c r="I359" s="17"/>
    </row>
    <row r="360" spans="1:9" ht="18" customHeight="1">
      <c r="A360" s="16"/>
      <c r="B360" s="16"/>
      <c r="C360" s="16"/>
      <c r="D360" s="25"/>
      <c r="E360" s="25"/>
      <c r="F360" s="16"/>
      <c r="G360" s="25"/>
      <c r="H360" s="16"/>
      <c r="I360" s="17"/>
    </row>
    <row r="361" spans="1:9" ht="18" customHeight="1">
      <c r="A361" s="16"/>
      <c r="B361" s="16"/>
      <c r="C361" s="16"/>
      <c r="D361" s="25"/>
      <c r="E361" s="25"/>
      <c r="F361" s="16"/>
      <c r="G361" s="25"/>
      <c r="H361" s="16"/>
      <c r="I361" s="17"/>
    </row>
    <row r="362" spans="1:9" ht="18" customHeight="1">
      <c r="A362" s="16"/>
      <c r="B362" s="16"/>
      <c r="C362" s="16"/>
      <c r="D362" s="25"/>
      <c r="E362" s="25"/>
      <c r="F362" s="16"/>
      <c r="G362" s="25"/>
      <c r="H362" s="16"/>
      <c r="I362" s="17"/>
    </row>
    <row r="363" spans="1:9" ht="18" customHeight="1">
      <c r="A363" s="16"/>
      <c r="B363" s="16"/>
      <c r="C363" s="16"/>
      <c r="D363" s="25"/>
      <c r="E363" s="25"/>
      <c r="F363" s="16"/>
      <c r="G363" s="25"/>
      <c r="H363" s="16"/>
      <c r="I363" s="17"/>
    </row>
    <row r="364" spans="1:9" ht="18" customHeight="1">
      <c r="A364" s="16"/>
      <c r="B364" s="16"/>
      <c r="C364" s="16"/>
      <c r="D364" s="25"/>
      <c r="E364" s="25"/>
      <c r="F364" s="16"/>
      <c r="G364" s="25"/>
      <c r="H364" s="16"/>
      <c r="I364" s="17"/>
    </row>
    <row r="365" spans="1:9" ht="18" customHeight="1">
      <c r="A365" s="16"/>
      <c r="B365" s="16"/>
      <c r="C365" s="16"/>
      <c r="D365" s="25"/>
      <c r="E365" s="25"/>
      <c r="F365" s="16"/>
      <c r="G365" s="25"/>
      <c r="H365" s="16"/>
      <c r="I365" s="17"/>
    </row>
    <row r="366" spans="1:9" ht="18" customHeight="1">
      <c r="A366" s="16"/>
      <c r="B366" s="16"/>
      <c r="C366" s="16"/>
      <c r="D366" s="25"/>
      <c r="E366" s="25"/>
      <c r="F366" s="16"/>
      <c r="G366" s="25"/>
      <c r="H366" s="16"/>
      <c r="I366" s="17"/>
    </row>
    <row r="367" spans="1:9" ht="18" customHeight="1">
      <c r="A367" s="16"/>
      <c r="B367" s="16"/>
      <c r="C367" s="16"/>
      <c r="D367" s="25"/>
      <c r="E367" s="25"/>
      <c r="F367" s="16"/>
      <c r="G367" s="25"/>
      <c r="H367" s="16"/>
      <c r="I367" s="17"/>
    </row>
    <row r="368" spans="1:9" ht="18" customHeight="1">
      <c r="A368" s="16"/>
      <c r="B368" s="16"/>
      <c r="C368" s="16"/>
      <c r="D368" s="25"/>
      <c r="E368" s="25"/>
      <c r="F368" s="16"/>
      <c r="G368" s="25"/>
      <c r="H368" s="16"/>
      <c r="I368" s="17"/>
    </row>
    <row r="369" spans="1:9" ht="18" customHeight="1">
      <c r="A369" s="16"/>
      <c r="B369" s="16"/>
      <c r="C369" s="16"/>
      <c r="D369" s="25"/>
      <c r="E369" s="25"/>
      <c r="F369" s="16"/>
      <c r="G369" s="25"/>
      <c r="H369" s="16"/>
      <c r="I369" s="17"/>
    </row>
    <row r="370" spans="1:9" ht="18" customHeight="1">
      <c r="A370" s="16"/>
      <c r="B370" s="16"/>
      <c r="C370" s="16"/>
      <c r="D370" s="25"/>
      <c r="E370" s="25"/>
      <c r="F370" s="16"/>
      <c r="G370" s="25"/>
      <c r="H370" s="16"/>
      <c r="I370" s="17"/>
    </row>
    <row r="371" spans="1:9" ht="18" customHeight="1">
      <c r="A371" s="16"/>
      <c r="B371" s="16"/>
      <c r="C371" s="16"/>
      <c r="D371" s="25"/>
      <c r="E371" s="25"/>
      <c r="F371" s="16"/>
      <c r="G371" s="25"/>
      <c r="H371" s="16"/>
      <c r="I371" s="17"/>
    </row>
    <row r="372" spans="1:9" ht="18" customHeight="1">
      <c r="A372" s="16"/>
      <c r="B372" s="16"/>
      <c r="C372" s="16"/>
      <c r="D372" s="25"/>
      <c r="E372" s="25"/>
      <c r="F372" s="16"/>
      <c r="G372" s="25"/>
      <c r="H372" s="16"/>
      <c r="I372" s="17"/>
    </row>
    <row r="373" spans="1:9" ht="18" customHeight="1">
      <c r="A373" s="16"/>
      <c r="B373" s="16"/>
      <c r="C373" s="16"/>
      <c r="D373" s="25"/>
      <c r="E373" s="25"/>
      <c r="F373" s="16"/>
      <c r="G373" s="25"/>
      <c r="H373" s="16"/>
      <c r="I373" s="17"/>
    </row>
    <row r="374" spans="1:9" ht="18" customHeight="1">
      <c r="A374" s="16"/>
      <c r="B374" s="16"/>
      <c r="C374" s="16"/>
      <c r="D374" s="25"/>
      <c r="E374" s="25"/>
      <c r="F374" s="16"/>
      <c r="G374" s="25"/>
      <c r="H374" s="16"/>
      <c r="I374" s="17"/>
    </row>
    <row r="375" spans="1:9" ht="18" customHeight="1">
      <c r="A375" s="16"/>
      <c r="B375" s="16"/>
      <c r="C375" s="16"/>
      <c r="D375" s="25"/>
      <c r="E375" s="25"/>
      <c r="F375" s="16"/>
      <c r="G375" s="25"/>
      <c r="H375" s="16"/>
      <c r="I375" s="17"/>
    </row>
    <row r="376" spans="1:9" ht="18" customHeight="1">
      <c r="A376" s="16"/>
      <c r="B376" s="16"/>
      <c r="C376" s="16"/>
      <c r="D376" s="25"/>
      <c r="E376" s="25"/>
      <c r="F376" s="16"/>
      <c r="G376" s="25"/>
      <c r="H376" s="16"/>
      <c r="I376" s="17"/>
    </row>
    <row r="377" spans="1:9" ht="18" customHeight="1">
      <c r="A377" s="16"/>
      <c r="B377" s="16"/>
      <c r="C377" s="16"/>
      <c r="D377" s="25"/>
      <c r="E377" s="25"/>
      <c r="F377" s="16"/>
      <c r="G377" s="25"/>
      <c r="H377" s="16"/>
      <c r="I377" s="17"/>
    </row>
    <row r="378" spans="1:9" ht="18" customHeight="1">
      <c r="A378" s="16"/>
      <c r="B378" s="16"/>
      <c r="C378" s="16"/>
      <c r="D378" s="25"/>
      <c r="E378" s="25"/>
      <c r="F378" s="16"/>
      <c r="G378" s="25"/>
      <c r="H378" s="16"/>
      <c r="I378" s="17"/>
    </row>
    <row r="379" spans="1:9" ht="18" customHeight="1">
      <c r="A379" s="16"/>
      <c r="B379" s="16"/>
      <c r="C379" s="16"/>
      <c r="D379" s="25"/>
      <c r="E379" s="25"/>
      <c r="F379" s="16"/>
      <c r="G379" s="25"/>
      <c r="H379" s="16"/>
      <c r="I379" s="17"/>
    </row>
    <row r="380" spans="1:9" ht="18" customHeight="1">
      <c r="A380" s="16"/>
      <c r="B380" s="16"/>
      <c r="C380" s="16"/>
      <c r="D380" s="25"/>
      <c r="E380" s="25"/>
      <c r="F380" s="16"/>
      <c r="G380" s="25"/>
      <c r="H380" s="16"/>
      <c r="I380" s="17"/>
    </row>
    <row r="381" spans="1:9" ht="18" customHeight="1">
      <c r="A381" s="16"/>
      <c r="B381" s="16"/>
      <c r="C381" s="16"/>
      <c r="D381" s="25"/>
      <c r="E381" s="25"/>
      <c r="F381" s="16"/>
      <c r="G381" s="25"/>
      <c r="H381" s="16"/>
      <c r="I381" s="17"/>
    </row>
    <row r="382" spans="1:9" ht="18" customHeight="1">
      <c r="A382" s="16"/>
      <c r="B382" s="16"/>
      <c r="C382" s="16"/>
      <c r="D382" s="25"/>
      <c r="E382" s="25"/>
      <c r="F382" s="16"/>
      <c r="G382" s="25"/>
      <c r="H382" s="16"/>
      <c r="I382" s="17"/>
    </row>
    <row r="383" spans="1:9" ht="18" customHeight="1">
      <c r="A383" s="16"/>
      <c r="B383" s="16"/>
      <c r="C383" s="16"/>
      <c r="D383" s="25"/>
      <c r="E383" s="25"/>
      <c r="F383" s="16"/>
      <c r="G383" s="25"/>
      <c r="H383" s="16"/>
      <c r="I383" s="17"/>
    </row>
    <row r="384" spans="1:9" ht="18" customHeight="1">
      <c r="A384" s="16"/>
      <c r="B384" s="16"/>
      <c r="C384" s="16"/>
      <c r="D384" s="25"/>
      <c r="E384" s="25"/>
      <c r="F384" s="16"/>
      <c r="G384" s="25"/>
      <c r="H384" s="16"/>
      <c r="I384" s="17"/>
    </row>
    <row r="385" spans="1:9" ht="18" customHeight="1">
      <c r="A385" s="16"/>
      <c r="B385" s="16"/>
      <c r="C385" s="16"/>
      <c r="D385" s="25"/>
      <c r="E385" s="25"/>
      <c r="F385" s="16"/>
      <c r="G385" s="25"/>
      <c r="H385" s="16"/>
      <c r="I385" s="17"/>
    </row>
    <row r="386" spans="1:9" ht="18" customHeight="1">
      <c r="A386" s="16"/>
      <c r="B386" s="16"/>
      <c r="C386" s="16"/>
      <c r="D386" s="25"/>
      <c r="E386" s="25"/>
      <c r="F386" s="16"/>
      <c r="G386" s="25"/>
      <c r="H386" s="16"/>
      <c r="I386" s="17"/>
    </row>
    <row r="387" spans="1:9" ht="18" customHeight="1">
      <c r="A387" s="16"/>
      <c r="B387" s="16"/>
      <c r="C387" s="16"/>
      <c r="D387" s="25"/>
      <c r="E387" s="25"/>
      <c r="F387" s="16"/>
      <c r="G387" s="25"/>
      <c r="H387" s="16"/>
      <c r="I387" s="17"/>
    </row>
    <row r="388" spans="1:9" ht="18" customHeight="1">
      <c r="A388" s="16"/>
      <c r="B388" s="16"/>
      <c r="C388" s="16"/>
      <c r="D388" s="25"/>
      <c r="E388" s="25"/>
      <c r="F388" s="16"/>
      <c r="G388" s="25"/>
      <c r="H388" s="16"/>
      <c r="I388" s="17"/>
    </row>
    <row r="389" spans="1:9" ht="18" customHeight="1">
      <c r="A389" s="16"/>
      <c r="B389" s="16"/>
      <c r="C389" s="16"/>
      <c r="D389" s="25"/>
      <c r="E389" s="25"/>
      <c r="F389" s="16"/>
      <c r="G389" s="25"/>
      <c r="H389" s="16"/>
      <c r="I389" s="17"/>
    </row>
    <row r="390" spans="1:9" ht="18" customHeight="1">
      <c r="A390" s="16"/>
      <c r="B390" s="16"/>
      <c r="C390" s="16"/>
      <c r="D390" s="25"/>
      <c r="E390" s="25"/>
      <c r="F390" s="16"/>
      <c r="G390" s="25"/>
      <c r="H390" s="16"/>
      <c r="I390" s="17"/>
    </row>
    <row r="391" spans="1:9" ht="18" customHeight="1">
      <c r="A391" s="16"/>
      <c r="B391" s="16"/>
      <c r="C391" s="16"/>
      <c r="D391" s="25"/>
      <c r="E391" s="25"/>
      <c r="F391" s="16"/>
      <c r="G391" s="25"/>
      <c r="H391" s="16"/>
      <c r="I391" s="17"/>
    </row>
    <row r="392" spans="1:9" ht="18" customHeight="1">
      <c r="A392" s="16"/>
      <c r="B392" s="16"/>
      <c r="C392" s="16"/>
      <c r="D392" s="25"/>
      <c r="E392" s="25"/>
      <c r="F392" s="16"/>
      <c r="G392" s="25"/>
      <c r="H392" s="16"/>
      <c r="I392" s="17"/>
    </row>
    <row r="393" spans="1:9" ht="18" customHeight="1">
      <c r="A393" s="16"/>
      <c r="B393" s="16"/>
      <c r="C393" s="16"/>
      <c r="D393" s="25"/>
      <c r="E393" s="25"/>
      <c r="F393" s="16"/>
      <c r="G393" s="25"/>
      <c r="H393" s="16"/>
      <c r="I393" s="17"/>
    </row>
    <row r="394" spans="1:9" ht="18" customHeight="1">
      <c r="A394" s="16"/>
      <c r="B394" s="16"/>
      <c r="C394" s="16"/>
      <c r="D394" s="25"/>
      <c r="E394" s="25"/>
      <c r="F394" s="16"/>
      <c r="G394" s="25"/>
      <c r="H394" s="16"/>
      <c r="I394" s="17"/>
    </row>
    <row r="395" spans="1:9" ht="18" customHeight="1">
      <c r="A395" s="16"/>
      <c r="B395" s="16"/>
      <c r="C395" s="16"/>
      <c r="D395" s="25"/>
      <c r="E395" s="25"/>
      <c r="F395" s="16"/>
      <c r="G395" s="25"/>
      <c r="H395" s="16"/>
      <c r="I395" s="17"/>
    </row>
    <row r="396" spans="1:9" ht="18" customHeight="1">
      <c r="A396" s="16"/>
      <c r="B396" s="16"/>
      <c r="C396" s="16"/>
      <c r="D396" s="25"/>
      <c r="E396" s="25"/>
      <c r="F396" s="16"/>
      <c r="G396" s="25"/>
      <c r="H396" s="16"/>
      <c r="I396" s="17"/>
    </row>
    <row r="397" spans="1:9" ht="18" customHeight="1">
      <c r="A397" s="16"/>
      <c r="B397" s="16"/>
      <c r="C397" s="16"/>
      <c r="D397" s="25"/>
      <c r="E397" s="25"/>
      <c r="F397" s="16"/>
      <c r="G397" s="25"/>
      <c r="H397" s="16"/>
      <c r="I397" s="17"/>
    </row>
    <row r="398" spans="1:9" ht="18" customHeight="1">
      <c r="A398" s="16"/>
      <c r="B398" s="16"/>
      <c r="C398" s="16"/>
      <c r="D398" s="25"/>
      <c r="E398" s="25"/>
      <c r="F398" s="16"/>
      <c r="G398" s="25"/>
      <c r="H398" s="16"/>
      <c r="I398" s="17"/>
    </row>
    <row r="399" spans="1:9" ht="18" customHeight="1">
      <c r="A399" s="16"/>
      <c r="B399" s="16"/>
      <c r="C399" s="16"/>
      <c r="D399" s="25"/>
      <c r="E399" s="25"/>
      <c r="F399" s="16"/>
      <c r="G399" s="25"/>
      <c r="H399" s="16"/>
      <c r="I399" s="17"/>
    </row>
    <row r="400" spans="1:9" ht="18" customHeight="1">
      <c r="A400" s="16"/>
      <c r="B400" s="16"/>
      <c r="C400" s="16"/>
      <c r="D400" s="25"/>
      <c r="E400" s="25"/>
      <c r="F400" s="16"/>
      <c r="G400" s="25"/>
      <c r="H400" s="16"/>
      <c r="I400" s="17"/>
    </row>
    <row r="401" spans="1:9" ht="18" customHeight="1">
      <c r="A401" s="16"/>
      <c r="B401" s="16"/>
      <c r="C401" s="16"/>
      <c r="D401" s="25"/>
      <c r="E401" s="25"/>
      <c r="F401" s="16"/>
      <c r="G401" s="25"/>
      <c r="H401" s="16"/>
      <c r="I401" s="17"/>
    </row>
    <row r="402" spans="1:9" ht="18" customHeight="1">
      <c r="A402" s="16"/>
      <c r="B402" s="16"/>
      <c r="C402" s="16"/>
      <c r="D402" s="25"/>
      <c r="E402" s="25"/>
      <c r="F402" s="16"/>
      <c r="G402" s="25"/>
      <c r="H402" s="16"/>
      <c r="I402" s="17"/>
    </row>
    <row r="403" spans="1:9" ht="18" customHeight="1">
      <c r="A403" s="16"/>
      <c r="B403" s="16"/>
      <c r="C403" s="16"/>
      <c r="D403" s="25"/>
      <c r="E403" s="25"/>
      <c r="F403" s="16"/>
      <c r="G403" s="25"/>
      <c r="H403" s="16"/>
      <c r="I403" s="17"/>
    </row>
    <row r="404" spans="1:9" ht="18" customHeight="1">
      <c r="A404" s="16"/>
      <c r="B404" s="16"/>
      <c r="C404" s="16"/>
      <c r="D404" s="25"/>
      <c r="E404" s="25"/>
      <c r="F404" s="16"/>
      <c r="G404" s="25"/>
      <c r="H404" s="16"/>
      <c r="I404" s="17"/>
    </row>
    <row r="405" spans="1:9" ht="18" customHeight="1">
      <c r="A405" s="16"/>
      <c r="B405" s="16"/>
      <c r="C405" s="16"/>
      <c r="D405" s="25"/>
      <c r="E405" s="25"/>
      <c r="F405" s="16"/>
      <c r="G405" s="25"/>
      <c r="H405" s="16"/>
      <c r="I405" s="17"/>
    </row>
    <row r="406" spans="1:9" ht="18" customHeight="1">
      <c r="A406" s="16"/>
      <c r="B406" s="16"/>
      <c r="C406" s="16"/>
      <c r="D406" s="25"/>
      <c r="E406" s="25"/>
      <c r="F406" s="16"/>
      <c r="G406" s="25"/>
      <c r="H406" s="16"/>
      <c r="I406" s="17"/>
    </row>
    <row r="407" spans="1:9" ht="18" customHeight="1">
      <c r="A407" s="16"/>
      <c r="B407" s="16"/>
      <c r="C407" s="16"/>
      <c r="D407" s="25"/>
      <c r="E407" s="25"/>
      <c r="F407" s="16"/>
      <c r="G407" s="25"/>
      <c r="H407" s="16"/>
      <c r="I407" s="17"/>
    </row>
    <row r="408" spans="1:9" ht="18" customHeight="1">
      <c r="A408" s="16"/>
      <c r="B408" s="16"/>
      <c r="C408" s="16"/>
      <c r="D408" s="25"/>
      <c r="E408" s="25"/>
      <c r="F408" s="16"/>
      <c r="G408" s="25"/>
      <c r="H408" s="16"/>
      <c r="I408" s="17"/>
    </row>
    <row r="409" spans="1:9" ht="18" customHeight="1">
      <c r="A409" s="16"/>
      <c r="B409" s="16"/>
      <c r="C409" s="16"/>
      <c r="D409" s="25"/>
      <c r="E409" s="25"/>
      <c r="F409" s="16"/>
      <c r="G409" s="25"/>
      <c r="H409" s="16"/>
      <c r="I409" s="17"/>
    </row>
    <row r="410" spans="1:9" ht="18" customHeight="1">
      <c r="A410" s="16"/>
      <c r="B410" s="16"/>
      <c r="C410" s="16"/>
      <c r="D410" s="25"/>
      <c r="E410" s="25"/>
      <c r="F410" s="16"/>
      <c r="G410" s="25"/>
      <c r="H410" s="16"/>
      <c r="I410" s="17"/>
    </row>
    <row r="411" spans="1:9" ht="18" customHeight="1">
      <c r="A411" s="16"/>
      <c r="B411" s="16"/>
      <c r="C411" s="16"/>
      <c r="D411" s="25"/>
      <c r="E411" s="25"/>
      <c r="F411" s="16"/>
      <c r="G411" s="25"/>
      <c r="H411" s="16"/>
      <c r="I411" s="17"/>
    </row>
    <row r="412" spans="1:9" ht="18" customHeight="1">
      <c r="A412" s="16"/>
      <c r="B412" s="16"/>
      <c r="C412" s="16"/>
      <c r="D412" s="25"/>
      <c r="E412" s="25"/>
      <c r="F412" s="16"/>
      <c r="G412" s="25"/>
      <c r="H412" s="16"/>
      <c r="I412" s="17"/>
    </row>
    <row r="413" spans="1:9" ht="18" customHeight="1">
      <c r="A413" s="16"/>
      <c r="B413" s="16"/>
      <c r="C413" s="16"/>
      <c r="D413" s="25"/>
      <c r="E413" s="25"/>
      <c r="F413" s="16"/>
      <c r="G413" s="25"/>
      <c r="H413" s="16"/>
      <c r="I413" s="17"/>
    </row>
    <row r="414" spans="1:9" ht="18" customHeight="1">
      <c r="A414" s="16"/>
      <c r="B414" s="16"/>
      <c r="C414" s="16"/>
      <c r="D414" s="25"/>
      <c r="E414" s="25"/>
      <c r="F414" s="16"/>
      <c r="G414" s="25"/>
      <c r="H414" s="16"/>
      <c r="I414" s="17"/>
    </row>
    <row r="415" spans="1:9" ht="18" customHeight="1">
      <c r="A415" s="16"/>
      <c r="B415" s="16"/>
      <c r="C415" s="16"/>
      <c r="D415" s="25"/>
      <c r="E415" s="25"/>
      <c r="F415" s="16"/>
      <c r="G415" s="25"/>
      <c r="H415" s="16"/>
      <c r="I415" s="17"/>
    </row>
    <row r="416" spans="1:9" ht="18" customHeight="1">
      <c r="A416" s="16"/>
      <c r="B416" s="16"/>
      <c r="C416" s="16"/>
      <c r="D416" s="25"/>
      <c r="E416" s="25"/>
      <c r="F416" s="16"/>
      <c r="G416" s="25"/>
      <c r="H416" s="16"/>
      <c r="I416" s="17"/>
    </row>
    <row r="417" spans="1:9" ht="18" customHeight="1">
      <c r="A417" s="16"/>
      <c r="B417" s="16"/>
      <c r="C417" s="16"/>
      <c r="D417" s="25"/>
      <c r="E417" s="25"/>
      <c r="F417" s="16"/>
      <c r="G417" s="25"/>
      <c r="H417" s="16"/>
      <c r="I417" s="17"/>
    </row>
    <row r="418" spans="1:9" ht="18" customHeight="1">
      <c r="A418" s="16"/>
      <c r="B418" s="16"/>
      <c r="C418" s="16"/>
      <c r="D418" s="25"/>
      <c r="E418" s="25"/>
      <c r="F418" s="16"/>
      <c r="G418" s="25"/>
      <c r="H418" s="16"/>
      <c r="I418" s="17"/>
    </row>
    <row r="419" spans="1:9" ht="18" customHeight="1">
      <c r="A419" s="16"/>
      <c r="B419" s="16"/>
      <c r="C419" s="16"/>
      <c r="D419" s="25"/>
      <c r="E419" s="25"/>
      <c r="F419" s="16"/>
      <c r="G419" s="25"/>
      <c r="H419" s="16"/>
      <c r="I419" s="17"/>
    </row>
    <row r="420" spans="1:9" ht="18" customHeight="1">
      <c r="A420" s="16"/>
      <c r="B420" s="16"/>
      <c r="C420" s="16"/>
      <c r="D420" s="25"/>
      <c r="E420" s="25"/>
      <c r="F420" s="16"/>
      <c r="G420" s="25"/>
      <c r="H420" s="16"/>
      <c r="I420" s="17"/>
    </row>
    <row r="421" spans="1:9" ht="18" customHeight="1">
      <c r="A421" s="16"/>
      <c r="B421" s="16"/>
      <c r="C421" s="16"/>
      <c r="D421" s="25"/>
      <c r="E421" s="25"/>
      <c r="F421" s="16"/>
      <c r="G421" s="25"/>
      <c r="H421" s="16"/>
      <c r="I421" s="17"/>
    </row>
    <row r="422" spans="1:9" ht="18" customHeight="1">
      <c r="A422" s="16"/>
      <c r="B422" s="16"/>
      <c r="C422" s="16"/>
      <c r="D422" s="25"/>
      <c r="E422" s="25"/>
      <c r="F422" s="16"/>
      <c r="G422" s="25"/>
      <c r="H422" s="16"/>
      <c r="I422" s="17"/>
    </row>
    <row r="423" spans="1:9" ht="18" customHeight="1">
      <c r="A423" s="16"/>
      <c r="B423" s="16"/>
      <c r="C423" s="16"/>
      <c r="D423" s="25"/>
      <c r="E423" s="25"/>
      <c r="F423" s="16"/>
      <c r="G423" s="25"/>
      <c r="H423" s="16"/>
      <c r="I423" s="17"/>
    </row>
    <row r="424" spans="1:9" ht="18" customHeight="1">
      <c r="A424" s="16"/>
      <c r="B424" s="16"/>
      <c r="C424" s="16"/>
      <c r="D424" s="25"/>
      <c r="E424" s="25"/>
      <c r="F424" s="16"/>
      <c r="G424" s="25"/>
      <c r="H424" s="16"/>
      <c r="I424" s="17"/>
    </row>
    <row r="425" spans="1:9" ht="18" customHeight="1">
      <c r="A425" s="16"/>
      <c r="B425" s="16"/>
      <c r="C425" s="16"/>
      <c r="D425" s="25"/>
      <c r="E425" s="25"/>
      <c r="F425" s="16"/>
      <c r="G425" s="25"/>
      <c r="H425" s="16"/>
      <c r="I425" s="17"/>
    </row>
    <row r="426" spans="1:9" ht="18" customHeight="1">
      <c r="A426" s="16"/>
      <c r="B426" s="16"/>
      <c r="C426" s="16"/>
      <c r="D426" s="25"/>
      <c r="E426" s="25"/>
      <c r="F426" s="16"/>
      <c r="G426" s="25"/>
      <c r="H426" s="16"/>
      <c r="I426" s="17"/>
    </row>
    <row r="427" spans="1:9" ht="18" customHeight="1">
      <c r="A427" s="16"/>
      <c r="B427" s="16"/>
      <c r="C427" s="16"/>
      <c r="D427" s="25"/>
      <c r="E427" s="25"/>
      <c r="F427" s="16"/>
      <c r="G427" s="25"/>
      <c r="H427" s="16"/>
      <c r="I427" s="17"/>
    </row>
    <row r="428" spans="1:9" ht="18" customHeight="1">
      <c r="A428" s="16"/>
      <c r="B428" s="16"/>
      <c r="C428" s="16"/>
      <c r="D428" s="25"/>
      <c r="E428" s="25"/>
      <c r="F428" s="16"/>
      <c r="G428" s="25"/>
      <c r="H428" s="16"/>
      <c r="I428" s="17"/>
    </row>
    <row r="429" spans="1:9" ht="18" customHeight="1">
      <c r="A429" s="16"/>
      <c r="B429" s="16"/>
      <c r="C429" s="16"/>
      <c r="D429" s="25"/>
      <c r="E429" s="25"/>
      <c r="F429" s="16"/>
      <c r="G429" s="25"/>
      <c r="H429" s="16"/>
      <c r="I429" s="17"/>
    </row>
    <row r="430" spans="1:9" ht="18" customHeight="1">
      <c r="A430" s="16"/>
      <c r="B430" s="16"/>
      <c r="C430" s="16"/>
      <c r="D430" s="25"/>
      <c r="E430" s="25"/>
      <c r="F430" s="16"/>
      <c r="G430" s="25"/>
      <c r="H430" s="16"/>
      <c r="I430" s="17"/>
    </row>
    <row r="431" spans="1:9" ht="18" customHeight="1">
      <c r="A431" s="16"/>
      <c r="B431" s="16"/>
      <c r="C431" s="16"/>
      <c r="D431" s="25"/>
      <c r="E431" s="25"/>
      <c r="F431" s="16"/>
      <c r="G431" s="25"/>
      <c r="H431" s="16"/>
      <c r="I431" s="17"/>
    </row>
    <row r="432" spans="1:9" ht="18" customHeight="1">
      <c r="A432" s="16"/>
      <c r="B432" s="16"/>
      <c r="C432" s="16"/>
      <c r="D432" s="25"/>
      <c r="E432" s="25"/>
      <c r="F432" s="16"/>
      <c r="G432" s="25"/>
      <c r="H432" s="16"/>
      <c r="I432" s="17"/>
    </row>
    <row r="433" spans="1:9" ht="18" customHeight="1">
      <c r="A433" s="16"/>
      <c r="B433" s="16"/>
      <c r="C433" s="16"/>
      <c r="D433" s="25"/>
      <c r="E433" s="25"/>
      <c r="F433" s="16"/>
      <c r="G433" s="25"/>
      <c r="H433" s="16"/>
      <c r="I433" s="17"/>
    </row>
    <row r="434" spans="1:9" ht="18" customHeight="1">
      <c r="A434" s="16"/>
      <c r="B434" s="16"/>
      <c r="C434" s="16"/>
      <c r="D434" s="25"/>
      <c r="E434" s="25"/>
      <c r="F434" s="16"/>
      <c r="G434" s="25"/>
      <c r="H434" s="16"/>
      <c r="I434" s="17"/>
    </row>
    <row r="435" spans="1:9" ht="18" customHeight="1">
      <c r="A435" s="16"/>
      <c r="B435" s="16"/>
      <c r="C435" s="16"/>
      <c r="D435" s="25"/>
      <c r="E435" s="25"/>
      <c r="F435" s="16"/>
      <c r="G435" s="25"/>
      <c r="H435" s="16"/>
      <c r="I435" s="17"/>
    </row>
    <row r="436" spans="1:9" ht="18" customHeight="1">
      <c r="A436" s="16"/>
      <c r="B436" s="16"/>
      <c r="C436" s="16"/>
      <c r="D436" s="25"/>
      <c r="E436" s="25"/>
      <c r="F436" s="16"/>
      <c r="G436" s="25"/>
      <c r="H436" s="16"/>
      <c r="I436" s="17"/>
    </row>
    <row r="437" spans="1:9" ht="18" customHeight="1">
      <c r="A437" s="16"/>
      <c r="B437" s="16"/>
      <c r="C437" s="16"/>
      <c r="D437" s="25"/>
      <c r="E437" s="25"/>
      <c r="F437" s="16"/>
      <c r="G437" s="25"/>
      <c r="H437" s="16"/>
      <c r="I437" s="17"/>
    </row>
    <row r="438" spans="1:9" ht="18" customHeight="1">
      <c r="A438" s="16"/>
      <c r="B438" s="16"/>
      <c r="C438" s="16"/>
      <c r="D438" s="25"/>
      <c r="E438" s="25"/>
      <c r="F438" s="16"/>
      <c r="G438" s="25"/>
      <c r="H438" s="16"/>
      <c r="I438" s="17"/>
    </row>
    <row r="439" spans="1:9" ht="18" customHeight="1">
      <c r="A439" s="16"/>
      <c r="B439" s="16"/>
      <c r="C439" s="16"/>
      <c r="D439" s="25"/>
      <c r="E439" s="25"/>
      <c r="F439" s="16"/>
      <c r="G439" s="25"/>
      <c r="H439" s="16"/>
      <c r="I439" s="17"/>
    </row>
    <row r="440" spans="1:9" ht="18" customHeight="1">
      <c r="A440" s="16"/>
      <c r="B440" s="16"/>
      <c r="C440" s="16"/>
      <c r="D440" s="25"/>
      <c r="E440" s="25"/>
      <c r="F440" s="16"/>
      <c r="G440" s="25"/>
      <c r="H440" s="16"/>
      <c r="I440" s="17"/>
    </row>
    <row r="441" spans="1:9" ht="18" customHeight="1">
      <c r="A441" s="16"/>
      <c r="B441" s="16"/>
      <c r="C441" s="16"/>
      <c r="D441" s="25"/>
      <c r="E441" s="25"/>
      <c r="F441" s="16"/>
      <c r="G441" s="25"/>
      <c r="H441" s="16"/>
      <c r="I441" s="17"/>
    </row>
    <row r="442" spans="1:9" ht="18" customHeight="1">
      <c r="A442" s="16"/>
      <c r="B442" s="16"/>
      <c r="C442" s="16"/>
      <c r="D442" s="25"/>
      <c r="E442" s="25"/>
      <c r="F442" s="16"/>
      <c r="G442" s="25"/>
      <c r="H442" s="16"/>
      <c r="I442" s="17"/>
    </row>
    <row r="443" spans="1:9" ht="18" customHeight="1">
      <c r="A443" s="16"/>
      <c r="B443" s="16"/>
      <c r="C443" s="16"/>
      <c r="D443" s="25"/>
      <c r="E443" s="25"/>
      <c r="F443" s="16"/>
      <c r="G443" s="25"/>
      <c r="H443" s="16"/>
      <c r="I443" s="17"/>
    </row>
    <row r="444" spans="1:9" ht="18" customHeight="1">
      <c r="A444" s="16"/>
      <c r="B444" s="16"/>
      <c r="C444" s="16"/>
      <c r="D444" s="25"/>
      <c r="E444" s="25"/>
      <c r="F444" s="16"/>
      <c r="G444" s="25"/>
      <c r="H444" s="16"/>
      <c r="I444" s="17"/>
    </row>
    <row r="445" spans="1:9" ht="18" customHeight="1">
      <c r="A445" s="16"/>
      <c r="B445" s="16"/>
      <c r="C445" s="16"/>
      <c r="D445" s="25"/>
      <c r="E445" s="25"/>
      <c r="F445" s="16"/>
      <c r="G445" s="25"/>
      <c r="H445" s="16"/>
      <c r="I445" s="17"/>
    </row>
    <row r="446" spans="1:9" ht="18" customHeight="1">
      <c r="A446" s="16"/>
      <c r="B446" s="16"/>
      <c r="C446" s="16"/>
      <c r="D446" s="25"/>
      <c r="E446" s="25"/>
      <c r="F446" s="16"/>
      <c r="G446" s="25"/>
      <c r="H446" s="16"/>
      <c r="I446" s="17"/>
    </row>
    <row r="447" spans="1:9" ht="18" customHeight="1">
      <c r="A447" s="16"/>
      <c r="B447" s="16"/>
      <c r="C447" s="16"/>
      <c r="D447" s="25"/>
      <c r="E447" s="25"/>
      <c r="F447" s="16"/>
      <c r="G447" s="25"/>
      <c r="H447" s="16"/>
      <c r="I447" s="17"/>
    </row>
    <row r="448" spans="1:9" ht="18" customHeight="1">
      <c r="A448" s="16"/>
      <c r="B448" s="16"/>
      <c r="C448" s="16"/>
      <c r="D448" s="25"/>
      <c r="E448" s="25"/>
      <c r="F448" s="16"/>
      <c r="G448" s="25"/>
      <c r="H448" s="16"/>
      <c r="I448" s="17"/>
    </row>
    <row r="449" spans="1:9" ht="18" customHeight="1">
      <c r="A449" s="16"/>
      <c r="B449" s="16"/>
      <c r="C449" s="16"/>
      <c r="D449" s="25"/>
      <c r="E449" s="25"/>
      <c r="F449" s="16"/>
      <c r="G449" s="25"/>
      <c r="H449" s="16"/>
      <c r="I449" s="17"/>
    </row>
    <row r="450" spans="1:9" ht="18" customHeight="1">
      <c r="A450" s="16"/>
      <c r="B450" s="16"/>
      <c r="C450" s="16"/>
      <c r="D450" s="25"/>
      <c r="E450" s="25"/>
      <c r="F450" s="16"/>
      <c r="G450" s="25"/>
      <c r="H450" s="16"/>
      <c r="I450" s="17"/>
    </row>
    <row r="451" spans="1:9" ht="18" customHeight="1">
      <c r="A451" s="16"/>
      <c r="B451" s="16"/>
      <c r="C451" s="16"/>
      <c r="D451" s="25"/>
      <c r="E451" s="25"/>
      <c r="F451" s="16"/>
      <c r="G451" s="25"/>
      <c r="H451" s="16"/>
      <c r="I451" s="17"/>
    </row>
    <row r="452" spans="1:9" ht="18" customHeight="1">
      <c r="A452" s="16"/>
      <c r="B452" s="16"/>
      <c r="C452" s="16"/>
      <c r="D452" s="25"/>
      <c r="E452" s="25"/>
      <c r="F452" s="16"/>
      <c r="G452" s="25"/>
      <c r="H452" s="16"/>
      <c r="I452" s="17"/>
    </row>
    <row r="453" spans="1:9" ht="18" customHeight="1">
      <c r="A453" s="16"/>
      <c r="B453" s="16"/>
      <c r="C453" s="16"/>
      <c r="D453" s="25"/>
      <c r="E453" s="25"/>
      <c r="F453" s="16"/>
      <c r="G453" s="25"/>
      <c r="H453" s="16"/>
      <c r="I453" s="17"/>
    </row>
    <row r="454" spans="1:9" ht="18" customHeight="1">
      <c r="A454" s="16"/>
      <c r="B454" s="16"/>
      <c r="C454" s="16"/>
      <c r="D454" s="25"/>
      <c r="E454" s="25"/>
      <c r="F454" s="16"/>
      <c r="G454" s="25"/>
      <c r="H454" s="16"/>
      <c r="I454" s="17"/>
    </row>
    <row r="455" spans="1:9" ht="18" customHeight="1">
      <c r="A455" s="16"/>
      <c r="B455" s="16"/>
      <c r="C455" s="16"/>
      <c r="D455" s="25"/>
      <c r="E455" s="25"/>
      <c r="F455" s="16"/>
      <c r="G455" s="25"/>
      <c r="H455" s="16"/>
      <c r="I455" s="17"/>
    </row>
    <row r="456" spans="1:9" ht="18" customHeight="1">
      <c r="A456" s="16"/>
      <c r="B456" s="16"/>
      <c r="C456" s="16"/>
      <c r="D456" s="25"/>
      <c r="E456" s="25"/>
      <c r="F456" s="16"/>
      <c r="G456" s="25"/>
      <c r="H456" s="16"/>
      <c r="I456" s="17"/>
    </row>
    <row r="457" spans="1:9" ht="18" customHeight="1">
      <c r="A457" s="16"/>
      <c r="B457" s="16"/>
      <c r="C457" s="16"/>
      <c r="D457" s="25"/>
      <c r="E457" s="25"/>
      <c r="F457" s="16"/>
      <c r="G457" s="25"/>
      <c r="H457" s="16"/>
      <c r="I457" s="17"/>
    </row>
    <row r="458" spans="1:9" ht="18" customHeight="1">
      <c r="A458" s="16"/>
      <c r="B458" s="16"/>
      <c r="C458" s="16"/>
      <c r="D458" s="25"/>
      <c r="E458" s="25"/>
      <c r="F458" s="16"/>
      <c r="G458" s="25"/>
      <c r="H458" s="16"/>
      <c r="I458" s="17"/>
    </row>
    <row r="459" spans="1:9" ht="18" customHeight="1">
      <c r="A459" s="16"/>
      <c r="B459" s="16"/>
      <c r="C459" s="16"/>
      <c r="D459" s="25"/>
      <c r="E459" s="25"/>
      <c r="F459" s="16"/>
      <c r="G459" s="25"/>
      <c r="H459" s="16"/>
      <c r="I459" s="17"/>
    </row>
    <row r="460" spans="1:9" ht="18" customHeight="1">
      <c r="A460" s="16"/>
      <c r="B460" s="16"/>
      <c r="C460" s="16"/>
      <c r="D460" s="25"/>
      <c r="E460" s="25"/>
      <c r="F460" s="16"/>
      <c r="G460" s="25"/>
      <c r="H460" s="16"/>
      <c r="I460" s="17"/>
    </row>
    <row r="461" spans="1:9" ht="18" customHeight="1">
      <c r="A461" s="16"/>
      <c r="B461" s="16"/>
      <c r="C461" s="16"/>
      <c r="D461" s="25"/>
      <c r="E461" s="25"/>
      <c r="F461" s="16"/>
      <c r="G461" s="25"/>
      <c r="H461" s="16"/>
      <c r="I461" s="17"/>
    </row>
    <row r="462" spans="1:9" ht="18" customHeight="1">
      <c r="A462" s="16"/>
      <c r="B462" s="16"/>
      <c r="C462" s="16"/>
      <c r="D462" s="25"/>
      <c r="E462" s="25"/>
      <c r="F462" s="16"/>
      <c r="G462" s="25"/>
      <c r="H462" s="16"/>
      <c r="I462" s="17"/>
    </row>
    <row r="463" spans="1:9" ht="18" customHeight="1">
      <c r="A463" s="16"/>
      <c r="B463" s="16"/>
      <c r="C463" s="16"/>
      <c r="D463" s="25"/>
      <c r="E463" s="25"/>
      <c r="F463" s="16"/>
      <c r="G463" s="25"/>
      <c r="H463" s="16"/>
      <c r="I463" s="17"/>
    </row>
    <row r="464" spans="1:9" ht="18" customHeight="1">
      <c r="A464" s="16"/>
      <c r="B464" s="16"/>
      <c r="C464" s="16"/>
      <c r="D464" s="25"/>
      <c r="E464" s="25"/>
      <c r="F464" s="16"/>
      <c r="G464" s="25"/>
      <c r="H464" s="16"/>
      <c r="I464" s="17"/>
    </row>
    <row r="465" spans="1:9" ht="18" customHeight="1">
      <c r="A465" s="16"/>
      <c r="B465" s="16"/>
      <c r="C465" s="16"/>
      <c r="D465" s="25"/>
      <c r="E465" s="25"/>
      <c r="F465" s="16"/>
      <c r="G465" s="25"/>
      <c r="H465" s="16"/>
      <c r="I465" s="17"/>
    </row>
    <row r="466" spans="1:9" ht="18" customHeight="1">
      <c r="A466" s="16"/>
      <c r="B466" s="16"/>
      <c r="C466" s="16"/>
      <c r="D466" s="25"/>
      <c r="E466" s="25"/>
      <c r="F466" s="16"/>
      <c r="G466" s="25"/>
      <c r="H466" s="16"/>
      <c r="I466" s="17"/>
    </row>
    <row r="467" spans="1:9" ht="18" customHeight="1">
      <c r="A467" s="16"/>
      <c r="B467" s="16"/>
      <c r="C467" s="16"/>
      <c r="D467" s="25"/>
      <c r="E467" s="25"/>
      <c r="F467" s="16"/>
      <c r="G467" s="25"/>
      <c r="H467" s="16"/>
      <c r="I467" s="17"/>
    </row>
    <row r="468" spans="1:9" ht="18" customHeight="1">
      <c r="A468" s="16"/>
      <c r="B468" s="16"/>
      <c r="C468" s="16"/>
      <c r="D468" s="25"/>
      <c r="E468" s="25"/>
      <c r="F468" s="16"/>
      <c r="G468" s="25"/>
      <c r="H468" s="16"/>
      <c r="I468" s="17"/>
    </row>
    <row r="469" spans="1:9" ht="18" customHeight="1">
      <c r="A469" s="16"/>
      <c r="B469" s="16"/>
      <c r="C469" s="16"/>
      <c r="D469" s="25"/>
      <c r="E469" s="25"/>
      <c r="F469" s="16"/>
      <c r="G469" s="25"/>
      <c r="H469" s="16"/>
      <c r="I469" s="17"/>
    </row>
    <row r="470" spans="1:9" ht="18" customHeight="1">
      <c r="A470" s="16"/>
      <c r="B470" s="16"/>
      <c r="C470" s="16"/>
      <c r="D470" s="25"/>
      <c r="E470" s="25"/>
      <c r="F470" s="16"/>
      <c r="G470" s="25"/>
      <c r="H470" s="16"/>
      <c r="I470" s="17"/>
    </row>
    <row r="471" spans="1:9" ht="18" customHeight="1">
      <c r="A471" s="16"/>
      <c r="B471" s="16"/>
      <c r="C471" s="16"/>
      <c r="D471" s="25"/>
      <c r="E471" s="25"/>
      <c r="F471" s="16"/>
      <c r="G471" s="25"/>
      <c r="H471" s="16"/>
      <c r="I471" s="17"/>
    </row>
    <row r="472" spans="1:9" ht="18" customHeight="1">
      <c r="A472" s="16"/>
      <c r="B472" s="16"/>
      <c r="C472" s="16"/>
      <c r="D472" s="25"/>
      <c r="E472" s="25"/>
      <c r="F472" s="16"/>
      <c r="G472" s="25"/>
      <c r="H472" s="16"/>
      <c r="I472" s="17"/>
    </row>
    <row r="473" spans="1:9" ht="18" customHeight="1">
      <c r="A473" s="16"/>
      <c r="B473" s="16"/>
      <c r="C473" s="16"/>
      <c r="D473" s="25"/>
      <c r="E473" s="25"/>
      <c r="F473" s="16"/>
      <c r="G473" s="25"/>
      <c r="H473" s="16"/>
      <c r="I473" s="17"/>
    </row>
    <row r="474" spans="1:9" ht="18" customHeight="1">
      <c r="A474" s="16"/>
      <c r="B474" s="16"/>
      <c r="C474" s="16"/>
      <c r="D474" s="25"/>
      <c r="E474" s="25"/>
      <c r="F474" s="16"/>
      <c r="G474" s="25"/>
      <c r="H474" s="16"/>
      <c r="I474" s="17"/>
    </row>
    <row r="475" spans="1:9" ht="18" customHeight="1">
      <c r="A475" s="16"/>
      <c r="B475" s="16"/>
      <c r="C475" s="16"/>
      <c r="D475" s="25"/>
      <c r="E475" s="25"/>
      <c r="F475" s="16"/>
      <c r="G475" s="25"/>
      <c r="H475" s="16"/>
      <c r="I475" s="17"/>
    </row>
    <row r="476" spans="1:9" ht="18" customHeight="1">
      <c r="A476" s="16"/>
      <c r="B476" s="16"/>
      <c r="C476" s="16"/>
      <c r="D476" s="25"/>
      <c r="E476" s="25"/>
      <c r="F476" s="16"/>
      <c r="G476" s="25"/>
      <c r="H476" s="16"/>
      <c r="I476" s="17"/>
    </row>
    <row r="477" spans="1:9" ht="18" customHeight="1">
      <c r="A477" s="16"/>
      <c r="B477" s="16"/>
      <c r="C477" s="16"/>
      <c r="D477" s="25"/>
      <c r="E477" s="25"/>
      <c r="F477" s="16"/>
      <c r="G477" s="25"/>
      <c r="H477" s="16"/>
      <c r="I477" s="17"/>
    </row>
    <row r="478" spans="1:9" ht="18" customHeight="1">
      <c r="A478" s="16"/>
      <c r="B478" s="16"/>
      <c r="C478" s="16"/>
      <c r="D478" s="25"/>
      <c r="E478" s="25"/>
      <c r="F478" s="16"/>
      <c r="G478" s="25"/>
      <c r="H478" s="16"/>
      <c r="I478" s="17"/>
    </row>
    <row r="479" spans="1:9" ht="18" customHeight="1">
      <c r="A479" s="16"/>
      <c r="B479" s="16"/>
      <c r="C479" s="16"/>
      <c r="D479" s="25"/>
      <c r="E479" s="25"/>
      <c r="F479" s="16"/>
      <c r="G479" s="25"/>
      <c r="H479" s="16"/>
      <c r="I479" s="17"/>
    </row>
    <row r="480" spans="1:9" ht="18" customHeight="1">
      <c r="A480" s="16"/>
      <c r="B480" s="16"/>
      <c r="C480" s="16"/>
      <c r="D480" s="25"/>
      <c r="E480" s="25"/>
      <c r="F480" s="16"/>
      <c r="G480" s="25"/>
      <c r="H480" s="16"/>
      <c r="I480" s="17"/>
    </row>
    <row r="481" spans="1:9" ht="18" customHeight="1">
      <c r="A481" s="16"/>
      <c r="B481" s="16"/>
      <c r="C481" s="16"/>
      <c r="D481" s="25"/>
      <c r="E481" s="25"/>
      <c r="F481" s="16"/>
      <c r="G481" s="25"/>
      <c r="H481" s="16"/>
      <c r="I481" s="17"/>
    </row>
    <row r="482" spans="1:9" ht="18" customHeight="1">
      <c r="A482" s="16"/>
      <c r="B482" s="16"/>
      <c r="C482" s="16"/>
      <c r="D482" s="25"/>
      <c r="E482" s="25"/>
      <c r="F482" s="16"/>
      <c r="G482" s="25"/>
      <c r="H482" s="16"/>
      <c r="I482" s="17"/>
    </row>
    <row r="483" spans="1:9" ht="18" customHeight="1">
      <c r="A483" s="16"/>
      <c r="B483" s="16"/>
      <c r="C483" s="16"/>
      <c r="D483" s="25"/>
      <c r="E483" s="25"/>
      <c r="F483" s="16"/>
      <c r="G483" s="25"/>
      <c r="H483" s="16"/>
      <c r="I483" s="17"/>
    </row>
    <row r="484" spans="1:9" ht="18" customHeight="1">
      <c r="A484" s="16"/>
      <c r="B484" s="16"/>
      <c r="C484" s="16"/>
      <c r="D484" s="25"/>
      <c r="E484" s="25"/>
      <c r="F484" s="16"/>
      <c r="G484" s="25"/>
      <c r="H484" s="16"/>
      <c r="I484" s="17"/>
    </row>
    <row r="485" spans="1:9" ht="18" customHeight="1">
      <c r="A485" s="16"/>
      <c r="B485" s="16"/>
      <c r="C485" s="16"/>
      <c r="D485" s="25"/>
      <c r="E485" s="25"/>
      <c r="F485" s="16"/>
      <c r="G485" s="25"/>
      <c r="H485" s="16"/>
      <c r="I485" s="17"/>
    </row>
    <row r="486" spans="1:9" ht="18" customHeight="1">
      <c r="A486" s="16"/>
      <c r="B486" s="16"/>
      <c r="C486" s="16"/>
      <c r="D486" s="25"/>
      <c r="E486" s="25"/>
      <c r="F486" s="16"/>
      <c r="G486" s="25"/>
      <c r="H486" s="16"/>
      <c r="I486" s="17"/>
    </row>
    <row r="487" spans="1:9" ht="18" customHeight="1">
      <c r="A487" s="16"/>
      <c r="B487" s="16"/>
      <c r="C487" s="16"/>
      <c r="D487" s="25"/>
      <c r="E487" s="25"/>
      <c r="F487" s="16"/>
      <c r="G487" s="25"/>
      <c r="H487" s="16"/>
      <c r="I487" s="17"/>
    </row>
    <row r="488" spans="1:9" ht="18" customHeight="1">
      <c r="A488" s="16"/>
      <c r="B488" s="16"/>
      <c r="C488" s="16"/>
      <c r="D488" s="25"/>
      <c r="E488" s="25"/>
      <c r="F488" s="16"/>
      <c r="G488" s="25"/>
      <c r="H488" s="16"/>
      <c r="I488" s="17"/>
    </row>
    <row r="489" spans="1:9" ht="18" customHeight="1">
      <c r="A489" s="16"/>
      <c r="B489" s="16"/>
      <c r="C489" s="16"/>
      <c r="D489" s="25"/>
      <c r="E489" s="25"/>
      <c r="F489" s="16"/>
      <c r="G489" s="25"/>
      <c r="H489" s="16"/>
      <c r="I489" s="17"/>
    </row>
    <row r="490" spans="1:9" ht="18" customHeight="1">
      <c r="A490" s="16"/>
      <c r="B490" s="16"/>
      <c r="C490" s="16"/>
      <c r="D490" s="25"/>
      <c r="E490" s="25"/>
      <c r="F490" s="16"/>
      <c r="G490" s="25"/>
      <c r="H490" s="16"/>
      <c r="I490" s="17"/>
    </row>
    <row r="491" spans="1:9" ht="18" customHeight="1">
      <c r="A491" s="16"/>
      <c r="B491" s="16"/>
      <c r="C491" s="16"/>
      <c r="D491" s="25"/>
      <c r="E491" s="25"/>
      <c r="F491" s="16"/>
      <c r="G491" s="25"/>
      <c r="H491" s="16"/>
      <c r="I491" s="17"/>
    </row>
    <row r="492" spans="1:9" ht="18" customHeight="1">
      <c r="A492" s="16"/>
      <c r="B492" s="16"/>
      <c r="C492" s="16"/>
      <c r="D492" s="25"/>
      <c r="E492" s="25"/>
      <c r="F492" s="16"/>
      <c r="G492" s="25"/>
      <c r="H492" s="16"/>
      <c r="I492" s="17"/>
    </row>
    <row r="493" spans="1:9" ht="18" customHeight="1">
      <c r="A493" s="16"/>
      <c r="B493" s="16"/>
      <c r="C493" s="16"/>
      <c r="D493" s="25"/>
      <c r="E493" s="25"/>
      <c r="F493" s="16"/>
      <c r="G493" s="25"/>
      <c r="H493" s="16"/>
      <c r="I493" s="17"/>
    </row>
    <row r="494" spans="1:9" ht="18" customHeight="1">
      <c r="A494" s="16"/>
      <c r="B494" s="16"/>
      <c r="C494" s="16"/>
      <c r="D494" s="25"/>
      <c r="E494" s="25"/>
      <c r="F494" s="16"/>
      <c r="G494" s="25"/>
      <c r="H494" s="16"/>
      <c r="I494" s="17"/>
    </row>
    <row r="495" spans="1:9" ht="18" customHeight="1">
      <c r="A495" s="16"/>
      <c r="B495" s="16"/>
      <c r="C495" s="16"/>
      <c r="D495" s="25"/>
      <c r="E495" s="25"/>
      <c r="F495" s="16"/>
      <c r="G495" s="25"/>
      <c r="H495" s="16"/>
      <c r="I495" s="17"/>
    </row>
    <row r="496" spans="1:9" ht="18" customHeight="1">
      <c r="A496" s="16"/>
      <c r="B496" s="16"/>
      <c r="C496" s="16"/>
      <c r="D496" s="25"/>
      <c r="E496" s="25"/>
      <c r="F496" s="16"/>
      <c r="G496" s="25"/>
      <c r="H496" s="16"/>
      <c r="I496" s="17"/>
    </row>
    <row r="497" spans="1:9" ht="18" customHeight="1">
      <c r="A497" s="16"/>
      <c r="B497" s="16"/>
      <c r="C497" s="16"/>
      <c r="D497" s="25"/>
      <c r="E497" s="25"/>
      <c r="F497" s="16"/>
      <c r="G497" s="25"/>
      <c r="H497" s="16"/>
      <c r="I497" s="17"/>
    </row>
    <row r="498" spans="1:9" ht="18" customHeight="1">
      <c r="A498" s="16"/>
      <c r="B498" s="16"/>
      <c r="C498" s="16"/>
      <c r="D498" s="25"/>
      <c r="E498" s="25"/>
      <c r="F498" s="16"/>
      <c r="G498" s="25"/>
      <c r="H498" s="16"/>
      <c r="I498" s="17"/>
    </row>
    <row r="499" spans="1:9" ht="18" customHeight="1">
      <c r="A499" s="16"/>
      <c r="B499" s="16"/>
      <c r="C499" s="16"/>
      <c r="D499" s="25"/>
      <c r="E499" s="25"/>
      <c r="F499" s="16"/>
      <c r="G499" s="25"/>
      <c r="H499" s="16"/>
      <c r="I499" s="17"/>
    </row>
    <row r="500" spans="1:9" ht="18" customHeight="1">
      <c r="A500" s="16"/>
      <c r="B500" s="16"/>
      <c r="C500" s="16"/>
      <c r="D500" s="25"/>
      <c r="E500" s="25"/>
      <c r="F500" s="16"/>
      <c r="G500" s="25"/>
      <c r="H500" s="16"/>
      <c r="I500" s="17"/>
    </row>
    <row r="501" spans="1:9" ht="18" customHeight="1">
      <c r="A501" s="16"/>
      <c r="B501" s="16"/>
      <c r="C501" s="16"/>
      <c r="D501" s="25"/>
      <c r="E501" s="25"/>
      <c r="F501" s="16"/>
      <c r="G501" s="25"/>
      <c r="H501" s="16"/>
      <c r="I501" s="17"/>
    </row>
    <row r="502" spans="1:9" ht="18" customHeight="1">
      <c r="A502" s="16"/>
      <c r="B502" s="16"/>
      <c r="C502" s="16"/>
      <c r="D502" s="25"/>
      <c r="E502" s="25"/>
      <c r="F502" s="16"/>
      <c r="G502" s="25"/>
      <c r="H502" s="16"/>
      <c r="I502" s="17"/>
    </row>
    <row r="503" spans="1:9" ht="18" customHeight="1">
      <c r="A503" s="16"/>
      <c r="B503" s="16"/>
      <c r="C503" s="16"/>
      <c r="D503" s="25"/>
      <c r="E503" s="25"/>
      <c r="F503" s="16"/>
      <c r="G503" s="25"/>
      <c r="H503" s="16"/>
      <c r="I503" s="17"/>
    </row>
    <row r="504" spans="1:9" ht="18" customHeight="1">
      <c r="A504" s="16"/>
      <c r="B504" s="16"/>
      <c r="C504" s="16"/>
      <c r="D504" s="25"/>
      <c r="E504" s="25"/>
      <c r="F504" s="16"/>
      <c r="G504" s="25"/>
      <c r="H504" s="16"/>
      <c r="I504" s="17"/>
    </row>
    <row r="505" spans="1:9" ht="18" customHeight="1">
      <c r="A505" s="16"/>
      <c r="B505" s="16"/>
      <c r="C505" s="16"/>
      <c r="D505" s="25"/>
      <c r="E505" s="25"/>
      <c r="F505" s="16"/>
      <c r="G505" s="25"/>
      <c r="H505" s="16"/>
      <c r="I505" s="17"/>
    </row>
    <row r="506" spans="1:9" ht="18" customHeight="1">
      <c r="A506" s="16"/>
      <c r="B506" s="16"/>
      <c r="C506" s="16"/>
      <c r="D506" s="25"/>
      <c r="E506" s="25"/>
      <c r="F506" s="16"/>
      <c r="G506" s="25"/>
      <c r="H506" s="16"/>
      <c r="I506" s="17"/>
    </row>
    <row r="507" spans="1:9" ht="18" customHeight="1">
      <c r="A507" s="16"/>
      <c r="B507" s="16"/>
      <c r="C507" s="16"/>
      <c r="D507" s="25"/>
      <c r="E507" s="25"/>
      <c r="F507" s="16"/>
      <c r="G507" s="25"/>
      <c r="H507" s="16"/>
      <c r="I507" s="17"/>
    </row>
    <row r="508" spans="1:9" ht="18" customHeight="1">
      <c r="A508" s="16"/>
      <c r="B508" s="16"/>
      <c r="C508" s="16"/>
      <c r="D508" s="25"/>
      <c r="E508" s="25"/>
      <c r="F508" s="16"/>
      <c r="G508" s="25"/>
      <c r="H508" s="16"/>
      <c r="I508" s="17"/>
    </row>
    <row r="509" spans="1:9" ht="18" customHeight="1">
      <c r="A509" s="16"/>
      <c r="B509" s="16"/>
      <c r="C509" s="16"/>
      <c r="D509" s="25"/>
      <c r="E509" s="25"/>
      <c r="F509" s="16"/>
      <c r="G509" s="25"/>
      <c r="H509" s="16"/>
      <c r="I509" s="17"/>
    </row>
    <row r="510" spans="1:9" ht="18" customHeight="1">
      <c r="A510" s="16"/>
      <c r="B510" s="16"/>
      <c r="C510" s="16"/>
      <c r="D510" s="25"/>
      <c r="E510" s="25"/>
      <c r="F510" s="16"/>
      <c r="G510" s="25"/>
      <c r="H510" s="16"/>
      <c r="I510" s="17"/>
    </row>
    <row r="511" spans="1:9" ht="18" customHeight="1">
      <c r="A511" s="16"/>
      <c r="B511" s="16"/>
      <c r="C511" s="16"/>
      <c r="D511" s="25"/>
      <c r="E511" s="25"/>
      <c r="F511" s="16"/>
      <c r="G511" s="25"/>
      <c r="H511" s="16"/>
      <c r="I511" s="17"/>
    </row>
    <row r="512" spans="1:9" ht="18" customHeight="1">
      <c r="A512" s="16"/>
      <c r="B512" s="16"/>
      <c r="C512" s="16"/>
      <c r="D512" s="25"/>
      <c r="E512" s="25"/>
      <c r="F512" s="16"/>
      <c r="G512" s="25"/>
      <c r="H512" s="16"/>
      <c r="I512" s="17"/>
    </row>
    <row r="513" spans="1:9" ht="18" customHeight="1">
      <c r="A513" s="16"/>
      <c r="B513" s="16"/>
      <c r="C513" s="16"/>
      <c r="D513" s="25"/>
      <c r="E513" s="25"/>
      <c r="F513" s="16"/>
      <c r="G513" s="25"/>
      <c r="H513" s="16"/>
      <c r="I513" s="17"/>
    </row>
    <row r="514" spans="1:9" ht="18" customHeight="1">
      <c r="A514" s="16"/>
      <c r="B514" s="16"/>
      <c r="C514" s="16"/>
      <c r="D514" s="25"/>
      <c r="E514" s="25"/>
      <c r="F514" s="16"/>
      <c r="G514" s="25"/>
      <c r="H514" s="16"/>
      <c r="I514" s="17"/>
    </row>
    <row r="515" spans="1:9" ht="18" customHeight="1">
      <c r="A515" s="16"/>
      <c r="B515" s="16"/>
      <c r="C515" s="16"/>
      <c r="D515" s="25"/>
      <c r="E515" s="25"/>
      <c r="F515" s="16"/>
      <c r="G515" s="25"/>
      <c r="H515" s="16"/>
      <c r="I515" s="17"/>
    </row>
    <row r="516" spans="1:9" ht="18" customHeight="1">
      <c r="A516" s="16"/>
      <c r="B516" s="16"/>
      <c r="C516" s="16"/>
      <c r="D516" s="25"/>
      <c r="E516" s="25"/>
      <c r="F516" s="16"/>
      <c r="G516" s="25"/>
      <c r="H516" s="16"/>
      <c r="I516" s="17"/>
    </row>
    <row r="517" spans="1:9" ht="18" customHeight="1">
      <c r="A517" s="16"/>
      <c r="B517" s="16"/>
      <c r="C517" s="16"/>
      <c r="D517" s="25"/>
      <c r="E517" s="25"/>
      <c r="F517" s="16"/>
      <c r="G517" s="25"/>
      <c r="H517" s="16"/>
      <c r="I517" s="17"/>
    </row>
    <row r="518" spans="1:9" ht="18" customHeight="1">
      <c r="A518" s="16"/>
      <c r="B518" s="16"/>
      <c r="C518" s="16"/>
      <c r="D518" s="25"/>
      <c r="E518" s="25"/>
      <c r="F518" s="16"/>
      <c r="G518" s="25"/>
      <c r="H518" s="16"/>
      <c r="I518" s="17"/>
    </row>
    <row r="519" spans="1:9" ht="18" customHeight="1">
      <c r="A519" s="16"/>
      <c r="B519" s="16"/>
      <c r="C519" s="16"/>
      <c r="D519" s="25"/>
      <c r="E519" s="25"/>
      <c r="F519" s="16"/>
      <c r="G519" s="25"/>
      <c r="H519" s="16"/>
      <c r="I519" s="17"/>
    </row>
    <row r="520" spans="1:9" ht="18" customHeight="1">
      <c r="A520" s="16"/>
      <c r="B520" s="16"/>
      <c r="C520" s="16"/>
      <c r="D520" s="25"/>
      <c r="E520" s="25"/>
      <c r="F520" s="16"/>
      <c r="G520" s="25"/>
      <c r="H520" s="16"/>
      <c r="I520" s="17"/>
    </row>
    <row r="521" spans="1:9" ht="18" customHeight="1">
      <c r="A521" s="16"/>
      <c r="B521" s="16"/>
      <c r="C521" s="16"/>
      <c r="D521" s="25"/>
      <c r="E521" s="25"/>
      <c r="F521" s="16"/>
      <c r="G521" s="25"/>
      <c r="H521" s="16"/>
      <c r="I521" s="17"/>
    </row>
    <row r="522" spans="1:9" ht="18" customHeight="1">
      <c r="A522" s="16"/>
      <c r="B522" s="16"/>
      <c r="C522" s="16"/>
      <c r="D522" s="25"/>
      <c r="E522" s="25"/>
      <c r="F522" s="16"/>
      <c r="G522" s="25"/>
      <c r="H522" s="16"/>
      <c r="I522" s="17"/>
    </row>
    <row r="523" spans="1:9" ht="18" customHeight="1">
      <c r="A523" s="16"/>
      <c r="B523" s="16"/>
      <c r="C523" s="16"/>
      <c r="D523" s="25"/>
      <c r="E523" s="25"/>
      <c r="F523" s="16"/>
      <c r="G523" s="25"/>
      <c r="H523" s="16"/>
      <c r="I523" s="17"/>
    </row>
    <row r="524" spans="1:9" ht="18" customHeight="1">
      <c r="A524" s="16"/>
      <c r="B524" s="16"/>
      <c r="C524" s="16"/>
      <c r="D524" s="25"/>
      <c r="E524" s="25"/>
      <c r="F524" s="16"/>
      <c r="G524" s="25"/>
      <c r="H524" s="16"/>
      <c r="I524" s="17"/>
    </row>
    <row r="525" spans="1:9" ht="18" customHeight="1">
      <c r="A525" s="16"/>
      <c r="B525" s="16"/>
      <c r="C525" s="16"/>
      <c r="D525" s="25"/>
      <c r="E525" s="25"/>
      <c r="F525" s="16"/>
      <c r="G525" s="25"/>
      <c r="H525" s="16"/>
      <c r="I525" s="17"/>
    </row>
    <row r="526" spans="1:9" ht="18" customHeight="1">
      <c r="A526" s="16"/>
      <c r="B526" s="16"/>
      <c r="C526" s="16"/>
      <c r="D526" s="25"/>
      <c r="E526" s="25"/>
      <c r="F526" s="16"/>
      <c r="G526" s="25"/>
      <c r="H526" s="16"/>
      <c r="I526" s="17"/>
    </row>
    <row r="527" spans="1:9" ht="18" customHeight="1">
      <c r="A527" s="16"/>
      <c r="B527" s="16"/>
      <c r="C527" s="16"/>
      <c r="D527" s="25"/>
      <c r="E527" s="25"/>
      <c r="F527" s="16"/>
      <c r="G527" s="25"/>
      <c r="H527" s="16"/>
      <c r="I527" s="17"/>
    </row>
    <row r="528" spans="1:9" ht="18" customHeight="1">
      <c r="A528" s="16"/>
      <c r="B528" s="16"/>
      <c r="C528" s="16"/>
      <c r="D528" s="25"/>
      <c r="E528" s="25"/>
      <c r="F528" s="16"/>
      <c r="G528" s="25"/>
      <c r="H528" s="16"/>
      <c r="I528" s="17"/>
    </row>
    <row r="529" spans="1:9" ht="18" customHeight="1">
      <c r="A529" s="16"/>
      <c r="B529" s="16"/>
      <c r="C529" s="16"/>
      <c r="D529" s="25"/>
      <c r="E529" s="25"/>
      <c r="F529" s="16"/>
      <c r="G529" s="25"/>
      <c r="H529" s="16"/>
      <c r="I529" s="17"/>
    </row>
    <row r="530" spans="1:9" ht="18" customHeight="1">
      <c r="A530" s="16"/>
      <c r="B530" s="16"/>
      <c r="C530" s="16"/>
      <c r="D530" s="25"/>
      <c r="E530" s="25"/>
      <c r="F530" s="16"/>
      <c r="G530" s="25"/>
      <c r="H530" s="16"/>
      <c r="I530" s="17"/>
    </row>
    <row r="531" spans="1:9" ht="18" customHeight="1">
      <c r="A531" s="16"/>
      <c r="B531" s="16"/>
      <c r="C531" s="16"/>
      <c r="D531" s="25"/>
      <c r="E531" s="25"/>
      <c r="F531" s="16"/>
      <c r="G531" s="25"/>
      <c r="H531" s="16"/>
      <c r="I531" s="17"/>
    </row>
    <row r="532" spans="1:9" ht="18" customHeight="1">
      <c r="A532" s="16"/>
      <c r="B532" s="16"/>
      <c r="C532" s="16"/>
      <c r="D532" s="25"/>
      <c r="E532" s="25"/>
      <c r="F532" s="16"/>
      <c r="G532" s="25"/>
      <c r="H532" s="16"/>
      <c r="I532" s="17"/>
    </row>
    <row r="533" spans="1:9" ht="18" customHeight="1">
      <c r="A533" s="16"/>
      <c r="B533" s="16"/>
      <c r="C533" s="16"/>
      <c r="D533" s="25"/>
      <c r="E533" s="25"/>
      <c r="F533" s="16"/>
      <c r="G533" s="25"/>
      <c r="H533" s="16"/>
      <c r="I533" s="17"/>
    </row>
    <row r="534" spans="1:9" ht="18" customHeight="1">
      <c r="A534" s="16"/>
      <c r="B534" s="16"/>
      <c r="C534" s="16"/>
      <c r="D534" s="25"/>
      <c r="E534" s="25"/>
      <c r="F534" s="16"/>
      <c r="G534" s="25"/>
      <c r="H534" s="16"/>
      <c r="I534" s="17"/>
    </row>
    <row r="535" spans="1:9" ht="18" customHeight="1">
      <c r="A535" s="16"/>
      <c r="B535" s="16"/>
      <c r="C535" s="16"/>
      <c r="D535" s="25"/>
      <c r="E535" s="25"/>
      <c r="F535" s="16"/>
      <c r="G535" s="25"/>
      <c r="H535" s="16"/>
      <c r="I535" s="17"/>
    </row>
    <row r="536" spans="1:9" ht="18" customHeight="1">
      <c r="A536" s="16"/>
      <c r="B536" s="16"/>
      <c r="C536" s="16"/>
      <c r="D536" s="25"/>
      <c r="E536" s="25"/>
      <c r="F536" s="16"/>
      <c r="G536" s="25"/>
      <c r="H536" s="16"/>
      <c r="I536" s="17"/>
    </row>
    <row r="537" spans="1:9" ht="18" customHeight="1">
      <c r="A537" s="16"/>
      <c r="B537" s="16"/>
      <c r="C537" s="16"/>
      <c r="D537" s="25"/>
      <c r="E537" s="25"/>
      <c r="F537" s="16"/>
      <c r="G537" s="25"/>
      <c r="H537" s="16"/>
      <c r="I537" s="17"/>
    </row>
    <row r="538" spans="1:9" ht="18" customHeight="1">
      <c r="A538" s="16"/>
      <c r="B538" s="16"/>
      <c r="C538" s="16"/>
      <c r="D538" s="25"/>
      <c r="E538" s="25"/>
      <c r="F538" s="16"/>
      <c r="G538" s="25"/>
      <c r="H538" s="16"/>
      <c r="I538" s="17"/>
    </row>
    <row r="539" spans="1:9" ht="18" customHeight="1">
      <c r="A539" s="16"/>
      <c r="B539" s="16"/>
      <c r="C539" s="16"/>
      <c r="D539" s="25"/>
      <c r="E539" s="25"/>
      <c r="F539" s="16"/>
      <c r="G539" s="25"/>
      <c r="H539" s="16"/>
      <c r="I539" s="17"/>
    </row>
    <row r="540" spans="1:9" ht="18" customHeight="1">
      <c r="A540" s="16"/>
      <c r="B540" s="16"/>
      <c r="C540" s="16"/>
      <c r="D540" s="25"/>
      <c r="E540" s="25"/>
      <c r="F540" s="16"/>
      <c r="G540" s="25"/>
      <c r="H540" s="16"/>
      <c r="I540" s="17"/>
    </row>
    <row r="541" spans="1:9" ht="18" customHeight="1">
      <c r="A541" s="16"/>
      <c r="B541" s="16"/>
      <c r="C541" s="16"/>
      <c r="D541" s="25"/>
      <c r="E541" s="25"/>
      <c r="F541" s="16"/>
      <c r="G541" s="25"/>
      <c r="H541" s="16"/>
      <c r="I541" s="17"/>
    </row>
    <row r="542" spans="1:9" ht="18" customHeight="1">
      <c r="A542" s="16"/>
      <c r="B542" s="16"/>
      <c r="C542" s="16"/>
      <c r="D542" s="25"/>
      <c r="E542" s="25"/>
      <c r="F542" s="16"/>
      <c r="G542" s="25"/>
      <c r="H542" s="16"/>
      <c r="I542" s="17"/>
    </row>
    <row r="543" spans="1:9" ht="18" customHeight="1">
      <c r="A543" s="16"/>
      <c r="B543" s="16"/>
      <c r="C543" s="16"/>
      <c r="D543" s="25"/>
      <c r="E543" s="25"/>
      <c r="F543" s="16"/>
      <c r="G543" s="25"/>
      <c r="H543" s="16"/>
      <c r="I543" s="17"/>
    </row>
    <row r="544" spans="1:9" ht="18" customHeight="1">
      <c r="A544" s="16"/>
      <c r="B544" s="16"/>
      <c r="C544" s="16"/>
      <c r="D544" s="25"/>
      <c r="E544" s="25"/>
      <c r="F544" s="16"/>
      <c r="G544" s="25"/>
      <c r="H544" s="16"/>
      <c r="I544" s="17"/>
    </row>
    <row r="545" spans="1:9" ht="18" customHeight="1">
      <c r="A545" s="16"/>
      <c r="B545" s="16"/>
      <c r="C545" s="16"/>
      <c r="D545" s="25"/>
      <c r="E545" s="25"/>
      <c r="F545" s="16"/>
      <c r="G545" s="25"/>
      <c r="H545" s="16"/>
      <c r="I545" s="17"/>
    </row>
    <row r="546" spans="1:9" ht="18" customHeight="1">
      <c r="A546" s="16"/>
      <c r="B546" s="16"/>
      <c r="C546" s="16"/>
      <c r="D546" s="25"/>
      <c r="E546" s="25"/>
      <c r="F546" s="16"/>
      <c r="G546" s="25"/>
      <c r="H546" s="16"/>
      <c r="I546" s="17"/>
    </row>
    <row r="547" spans="1:9" ht="18" customHeight="1">
      <c r="A547" s="16"/>
      <c r="B547" s="16"/>
      <c r="C547" s="16"/>
      <c r="D547" s="25"/>
      <c r="E547" s="25"/>
      <c r="F547" s="16"/>
      <c r="G547" s="25"/>
      <c r="H547" s="16"/>
      <c r="I547" s="17"/>
    </row>
    <row r="548" spans="1:9" ht="18" customHeight="1">
      <c r="A548" s="16"/>
      <c r="B548" s="16"/>
      <c r="C548" s="16"/>
      <c r="D548" s="25"/>
      <c r="E548" s="25"/>
      <c r="F548" s="16"/>
      <c r="G548" s="25"/>
      <c r="H548" s="16"/>
      <c r="I548" s="17"/>
    </row>
    <row r="549" spans="1:9" ht="18" customHeight="1">
      <c r="A549" s="16"/>
      <c r="B549" s="16"/>
      <c r="C549" s="16"/>
      <c r="D549" s="25"/>
      <c r="E549" s="25"/>
      <c r="F549" s="16"/>
      <c r="G549" s="25"/>
      <c r="H549" s="16"/>
      <c r="I549" s="17"/>
    </row>
    <row r="550" spans="1:9" ht="18" customHeight="1">
      <c r="A550" s="16"/>
      <c r="B550" s="16"/>
      <c r="C550" s="16"/>
      <c r="D550" s="25"/>
      <c r="E550" s="25"/>
      <c r="F550" s="16"/>
      <c r="G550" s="25"/>
      <c r="H550" s="16"/>
      <c r="I550" s="17"/>
    </row>
    <row r="551" spans="1:9" ht="18" customHeight="1">
      <c r="A551" s="16"/>
      <c r="B551" s="16"/>
      <c r="C551" s="16"/>
      <c r="D551" s="25"/>
      <c r="E551" s="25"/>
      <c r="F551" s="16"/>
      <c r="G551" s="25"/>
      <c r="H551" s="16"/>
      <c r="I551" s="17"/>
    </row>
    <row r="552" spans="1:9" ht="18" customHeight="1">
      <c r="A552" s="16"/>
      <c r="B552" s="16"/>
      <c r="C552" s="16"/>
      <c r="D552" s="25"/>
      <c r="E552" s="25"/>
      <c r="F552" s="16"/>
      <c r="G552" s="25"/>
      <c r="H552" s="16"/>
      <c r="I552" s="17"/>
    </row>
    <row r="553" spans="1:9" ht="18" customHeight="1">
      <c r="A553" s="16"/>
      <c r="B553" s="16"/>
      <c r="C553" s="16"/>
      <c r="D553" s="25"/>
      <c r="E553" s="25"/>
      <c r="F553" s="16"/>
      <c r="G553" s="25"/>
      <c r="H553" s="16"/>
      <c r="I553" s="17"/>
    </row>
    <row r="554" spans="1:9" ht="18" customHeight="1">
      <c r="A554" s="16"/>
      <c r="B554" s="16"/>
      <c r="C554" s="16"/>
      <c r="D554" s="25"/>
      <c r="E554" s="25"/>
      <c r="F554" s="16"/>
      <c r="G554" s="25"/>
      <c r="H554" s="16"/>
      <c r="I554" s="17"/>
    </row>
    <row r="555" spans="1:9" ht="18" customHeight="1">
      <c r="A555" s="16"/>
      <c r="B555" s="16"/>
      <c r="C555" s="16"/>
      <c r="D555" s="25"/>
      <c r="E555" s="25"/>
      <c r="F555" s="16"/>
      <c r="G555" s="25"/>
      <c r="H555" s="16"/>
      <c r="I555" s="17"/>
    </row>
    <row r="556" spans="1:9" ht="18" customHeight="1">
      <c r="A556" s="16"/>
      <c r="B556" s="16"/>
      <c r="C556" s="16"/>
      <c r="D556" s="25"/>
      <c r="E556" s="25"/>
      <c r="F556" s="16"/>
      <c r="G556" s="25"/>
      <c r="H556" s="16"/>
      <c r="I556" s="17"/>
    </row>
    <row r="557" spans="1:9" ht="18" customHeight="1">
      <c r="A557" s="16"/>
      <c r="B557" s="16"/>
      <c r="C557" s="16"/>
      <c r="D557" s="25"/>
      <c r="E557" s="25"/>
      <c r="F557" s="16"/>
      <c r="G557" s="25"/>
      <c r="H557" s="16"/>
      <c r="I557" s="17"/>
    </row>
    <row r="558" spans="1:9" ht="18" customHeight="1">
      <c r="A558" s="16"/>
      <c r="B558" s="16"/>
      <c r="C558" s="16"/>
      <c r="D558" s="25"/>
      <c r="E558" s="25"/>
      <c r="F558" s="16"/>
      <c r="G558" s="25"/>
      <c r="H558" s="16"/>
      <c r="I558" s="17"/>
    </row>
    <row r="559" spans="1:9" ht="18" customHeight="1">
      <c r="A559" s="16"/>
      <c r="B559" s="16"/>
      <c r="C559" s="16"/>
      <c r="D559" s="25"/>
      <c r="E559" s="25"/>
      <c r="F559" s="16"/>
      <c r="G559" s="25"/>
      <c r="H559" s="16"/>
      <c r="I559" s="17"/>
    </row>
    <row r="560" spans="1:9" ht="18" customHeight="1">
      <c r="A560" s="16"/>
      <c r="B560" s="16"/>
      <c r="C560" s="16"/>
      <c r="D560" s="25"/>
      <c r="E560" s="25"/>
      <c r="F560" s="16"/>
      <c r="G560" s="25"/>
      <c r="H560" s="16"/>
      <c r="I560" s="17"/>
    </row>
    <row r="561" spans="1:9" ht="18" customHeight="1">
      <c r="A561" s="16"/>
      <c r="B561" s="16"/>
      <c r="C561" s="16"/>
      <c r="D561" s="25"/>
      <c r="E561" s="25"/>
      <c r="F561" s="16"/>
      <c r="G561" s="25"/>
      <c r="H561" s="16"/>
      <c r="I561" s="17"/>
    </row>
    <row r="562" spans="1:9" ht="18" customHeight="1">
      <c r="A562" s="16"/>
      <c r="B562" s="16"/>
      <c r="C562" s="16"/>
      <c r="D562" s="25"/>
      <c r="E562" s="25"/>
      <c r="F562" s="16"/>
      <c r="G562" s="25"/>
      <c r="H562" s="16"/>
      <c r="I562" s="17"/>
    </row>
    <row r="563" spans="1:9" ht="18" customHeight="1">
      <c r="A563" s="16"/>
      <c r="B563" s="16"/>
      <c r="C563" s="16"/>
      <c r="D563" s="25"/>
      <c r="E563" s="25"/>
      <c r="F563" s="16"/>
      <c r="G563" s="25"/>
      <c r="H563" s="16"/>
      <c r="I563" s="17"/>
    </row>
    <row r="564" spans="1:9" ht="18" customHeight="1">
      <c r="A564" s="16"/>
      <c r="B564" s="16"/>
      <c r="C564" s="16"/>
      <c r="D564" s="25"/>
      <c r="E564" s="25"/>
      <c r="F564" s="16"/>
      <c r="G564" s="25"/>
      <c r="H564" s="16"/>
      <c r="I564" s="17"/>
    </row>
    <row r="565" spans="1:9" ht="18" customHeight="1">
      <c r="A565" s="16"/>
      <c r="B565" s="16"/>
      <c r="C565" s="16"/>
      <c r="D565" s="25"/>
      <c r="E565" s="25"/>
      <c r="F565" s="16"/>
      <c r="G565" s="25"/>
      <c r="H565" s="16"/>
      <c r="I565" s="17"/>
    </row>
    <row r="566" spans="1:9" ht="18" customHeight="1">
      <c r="A566" s="16"/>
      <c r="B566" s="16"/>
      <c r="C566" s="16"/>
      <c r="D566" s="25"/>
      <c r="E566" s="25"/>
      <c r="F566" s="16"/>
      <c r="G566" s="25"/>
      <c r="H566" s="16"/>
      <c r="I566" s="17"/>
    </row>
    <row r="567" spans="1:9" ht="18" customHeight="1">
      <c r="A567" s="16"/>
      <c r="B567" s="16"/>
      <c r="C567" s="16"/>
      <c r="D567" s="25"/>
      <c r="E567" s="25"/>
      <c r="F567" s="16"/>
      <c r="G567" s="25"/>
      <c r="H567" s="16"/>
      <c r="I567" s="17"/>
    </row>
    <row r="568" spans="1:9" ht="18" customHeight="1">
      <c r="A568" s="16"/>
      <c r="B568" s="16"/>
      <c r="C568" s="16"/>
      <c r="D568" s="25"/>
      <c r="E568" s="25"/>
      <c r="F568" s="16"/>
      <c r="G568" s="25"/>
      <c r="H568" s="16"/>
      <c r="I568" s="17"/>
    </row>
    <row r="569" spans="1:9" ht="18" customHeight="1">
      <c r="A569" s="16"/>
      <c r="B569" s="16"/>
      <c r="C569" s="16"/>
      <c r="D569" s="25"/>
      <c r="E569" s="25"/>
      <c r="F569" s="16"/>
      <c r="G569" s="25"/>
      <c r="H569" s="16"/>
      <c r="I569" s="17"/>
    </row>
    <row r="570" spans="1:9" ht="18" customHeight="1">
      <c r="A570" s="16"/>
      <c r="B570" s="16"/>
      <c r="C570" s="16"/>
      <c r="D570" s="25"/>
      <c r="E570" s="25"/>
      <c r="F570" s="16"/>
      <c r="G570" s="25"/>
      <c r="H570" s="16"/>
      <c r="I570" s="17"/>
    </row>
    <row r="571" spans="1:9" ht="18" customHeight="1">
      <c r="A571" s="16"/>
      <c r="B571" s="16"/>
      <c r="C571" s="16"/>
      <c r="D571" s="25"/>
      <c r="E571" s="25"/>
      <c r="F571" s="16"/>
      <c r="G571" s="25"/>
      <c r="H571" s="16"/>
      <c r="I571" s="17"/>
    </row>
    <row r="572" spans="1:9" ht="18" customHeight="1">
      <c r="A572" s="16"/>
      <c r="B572" s="16"/>
      <c r="C572" s="16"/>
      <c r="D572" s="25"/>
      <c r="E572" s="25"/>
      <c r="F572" s="16"/>
      <c r="G572" s="25"/>
      <c r="H572" s="16"/>
      <c r="I572" s="17"/>
    </row>
    <row r="573" spans="1:9" ht="18" customHeight="1">
      <c r="A573" s="16"/>
      <c r="B573" s="16"/>
      <c r="C573" s="16"/>
      <c r="D573" s="25"/>
      <c r="E573" s="25"/>
      <c r="F573" s="16"/>
      <c r="G573" s="25"/>
      <c r="H573" s="16"/>
      <c r="I573" s="17"/>
    </row>
    <row r="574" spans="1:9" ht="18" customHeight="1">
      <c r="A574" s="16"/>
      <c r="B574" s="16"/>
      <c r="C574" s="16"/>
      <c r="D574" s="25"/>
      <c r="E574" s="25"/>
      <c r="F574" s="16"/>
      <c r="G574" s="25"/>
      <c r="H574" s="16"/>
      <c r="I574" s="17"/>
    </row>
    <row r="575" spans="1:9" ht="18" customHeight="1">
      <c r="A575" s="16"/>
      <c r="B575" s="16"/>
      <c r="C575" s="16"/>
      <c r="D575" s="25"/>
      <c r="E575" s="25"/>
      <c r="F575" s="16"/>
      <c r="G575" s="25"/>
      <c r="H575" s="16"/>
      <c r="I575" s="17"/>
    </row>
    <row r="576" spans="1:9" ht="18" customHeight="1">
      <c r="A576" s="16"/>
      <c r="B576" s="16"/>
      <c r="C576" s="16"/>
      <c r="D576" s="25"/>
      <c r="E576" s="25"/>
      <c r="F576" s="16"/>
      <c r="G576" s="25"/>
      <c r="H576" s="16"/>
      <c r="I576" s="17"/>
    </row>
    <row r="577" spans="1:9" ht="18" customHeight="1">
      <c r="A577" s="16"/>
      <c r="B577" s="16"/>
      <c r="C577" s="16"/>
      <c r="D577" s="25"/>
      <c r="E577" s="25"/>
      <c r="F577" s="16"/>
      <c r="G577" s="25"/>
      <c r="H577" s="16"/>
      <c r="I577" s="17"/>
    </row>
    <row r="578" spans="1:9" ht="18" customHeight="1">
      <c r="A578" s="16"/>
      <c r="B578" s="16"/>
      <c r="C578" s="16"/>
      <c r="D578" s="25"/>
      <c r="E578" s="25"/>
      <c r="F578" s="16"/>
      <c r="G578" s="25"/>
      <c r="H578" s="16"/>
      <c r="I578" s="17"/>
    </row>
    <row r="579" spans="1:9" ht="18" customHeight="1">
      <c r="A579" s="16"/>
      <c r="B579" s="16"/>
      <c r="C579" s="16"/>
      <c r="D579" s="25"/>
      <c r="E579" s="25"/>
      <c r="F579" s="16"/>
      <c r="G579" s="25"/>
      <c r="H579" s="16"/>
      <c r="I579" s="17"/>
    </row>
    <row r="580" spans="1:9" ht="18" customHeight="1">
      <c r="A580" s="16"/>
      <c r="B580" s="16"/>
      <c r="C580" s="16"/>
      <c r="D580" s="25"/>
      <c r="E580" s="25"/>
      <c r="F580" s="16"/>
      <c r="G580" s="25"/>
      <c r="H580" s="16"/>
      <c r="I580" s="17"/>
    </row>
    <row r="581" spans="1:9" ht="18" customHeight="1">
      <c r="A581" s="16"/>
      <c r="B581" s="16"/>
      <c r="C581" s="16"/>
      <c r="D581" s="25"/>
      <c r="E581" s="25"/>
      <c r="F581" s="16"/>
      <c r="G581" s="25"/>
      <c r="H581" s="16"/>
      <c r="I581" s="17"/>
    </row>
    <row r="582" spans="1:9" ht="18" customHeight="1">
      <c r="A582" s="16"/>
      <c r="B582" s="16"/>
      <c r="C582" s="16"/>
      <c r="D582" s="25"/>
      <c r="E582" s="25"/>
      <c r="F582" s="16"/>
      <c r="G582" s="25"/>
      <c r="H582" s="16"/>
      <c r="I582" s="17"/>
    </row>
    <row r="583" spans="1:9" ht="18" customHeight="1">
      <c r="A583" s="16"/>
      <c r="B583" s="16"/>
      <c r="C583" s="16"/>
      <c r="D583" s="25"/>
      <c r="E583" s="25"/>
      <c r="F583" s="16"/>
      <c r="G583" s="25"/>
      <c r="H583" s="16"/>
      <c r="I583" s="17"/>
    </row>
    <row r="584" spans="1:9" ht="18" customHeight="1">
      <c r="A584" s="16"/>
      <c r="B584" s="16"/>
      <c r="C584" s="16"/>
      <c r="D584" s="25"/>
      <c r="E584" s="25"/>
      <c r="F584" s="16"/>
      <c r="G584" s="25"/>
      <c r="H584" s="16"/>
      <c r="I584" s="17"/>
    </row>
    <row r="585" spans="1:9" ht="18" customHeight="1">
      <c r="A585" s="16"/>
      <c r="B585" s="16"/>
      <c r="C585" s="16"/>
      <c r="D585" s="25"/>
      <c r="E585" s="25"/>
      <c r="F585" s="16"/>
      <c r="G585" s="25"/>
      <c r="H585" s="16"/>
      <c r="I585" s="17"/>
    </row>
    <row r="586" spans="1:9" ht="18" customHeight="1">
      <c r="A586" s="16"/>
      <c r="B586" s="16"/>
      <c r="C586" s="16"/>
      <c r="D586" s="25"/>
      <c r="E586" s="25"/>
      <c r="F586" s="16"/>
      <c r="G586" s="25"/>
      <c r="H586" s="16"/>
      <c r="I586" s="17"/>
    </row>
    <row r="587" spans="1:9" ht="18" customHeight="1">
      <c r="A587" s="16"/>
      <c r="B587" s="16"/>
      <c r="C587" s="16"/>
      <c r="D587" s="25"/>
      <c r="E587" s="25"/>
      <c r="F587" s="16"/>
      <c r="G587" s="25"/>
      <c r="H587" s="16"/>
      <c r="I587" s="17"/>
    </row>
    <row r="588" spans="1:9" ht="18" customHeight="1">
      <c r="A588" s="16"/>
      <c r="B588" s="16"/>
      <c r="C588" s="16"/>
      <c r="D588" s="25"/>
      <c r="E588" s="25"/>
      <c r="F588" s="16"/>
      <c r="G588" s="25"/>
      <c r="H588" s="16"/>
      <c r="I588" s="17"/>
    </row>
    <row r="589" spans="1:9" ht="18" customHeight="1">
      <c r="A589" s="16"/>
      <c r="B589" s="16"/>
      <c r="C589" s="16"/>
      <c r="D589" s="25"/>
      <c r="E589" s="25"/>
      <c r="F589" s="16"/>
      <c r="G589" s="25"/>
      <c r="H589" s="16"/>
      <c r="I589" s="17"/>
    </row>
    <row r="590" spans="1:9" ht="18" customHeight="1">
      <c r="A590" s="16"/>
      <c r="B590" s="16"/>
      <c r="C590" s="16"/>
      <c r="D590" s="25"/>
      <c r="E590" s="25"/>
      <c r="F590" s="16"/>
      <c r="G590" s="25"/>
      <c r="H590" s="16"/>
      <c r="I590" s="17"/>
    </row>
    <row r="591" spans="1:9" ht="18" customHeight="1">
      <c r="A591" s="16"/>
      <c r="B591" s="16"/>
      <c r="C591" s="16"/>
      <c r="D591" s="25"/>
      <c r="E591" s="25"/>
      <c r="F591" s="16"/>
      <c r="G591" s="25"/>
      <c r="H591" s="16"/>
      <c r="I591" s="17"/>
    </row>
    <row r="592" spans="1:9" ht="18" customHeight="1">
      <c r="A592" s="16"/>
      <c r="B592" s="16"/>
      <c r="C592" s="16"/>
      <c r="D592" s="25"/>
      <c r="E592" s="25"/>
      <c r="F592" s="16"/>
      <c r="G592" s="25"/>
      <c r="H592" s="16"/>
      <c r="I592" s="17"/>
    </row>
    <row r="593" spans="1:9" ht="18" customHeight="1">
      <c r="A593" s="16"/>
      <c r="B593" s="16"/>
      <c r="C593" s="16"/>
      <c r="D593" s="25"/>
      <c r="E593" s="25"/>
      <c r="F593" s="16"/>
      <c r="G593" s="25"/>
      <c r="H593" s="16"/>
      <c r="I593" s="17"/>
    </row>
    <row r="594" spans="1:9" ht="18" customHeight="1">
      <c r="A594" s="16"/>
      <c r="B594" s="16"/>
      <c r="C594" s="16"/>
      <c r="D594" s="25"/>
      <c r="E594" s="25"/>
      <c r="F594" s="16"/>
      <c r="G594" s="25"/>
      <c r="H594" s="16"/>
      <c r="I594" s="17"/>
    </row>
    <row r="595" spans="1:9" ht="18" customHeight="1">
      <c r="A595" s="16"/>
      <c r="B595" s="16"/>
      <c r="C595" s="16"/>
      <c r="D595" s="25"/>
      <c r="E595" s="25"/>
      <c r="F595" s="16"/>
      <c r="G595" s="25"/>
      <c r="H595" s="16"/>
      <c r="I595" s="17"/>
    </row>
    <row r="596" spans="1:9" ht="18" customHeight="1">
      <c r="A596" s="16"/>
      <c r="B596" s="16"/>
      <c r="C596" s="16"/>
      <c r="D596" s="25"/>
      <c r="E596" s="25"/>
      <c r="F596" s="16"/>
      <c r="G596" s="25"/>
      <c r="H596" s="16"/>
      <c r="I596" s="17"/>
    </row>
    <row r="597" spans="1:9" ht="18" customHeight="1">
      <c r="A597" s="16"/>
      <c r="B597" s="16"/>
      <c r="C597" s="16"/>
      <c r="D597" s="25"/>
      <c r="E597" s="25"/>
      <c r="F597" s="16"/>
      <c r="G597" s="25"/>
      <c r="H597" s="16"/>
      <c r="I597" s="17"/>
    </row>
    <row r="598" spans="1:9" ht="18" customHeight="1">
      <c r="A598" s="16"/>
      <c r="B598" s="16"/>
      <c r="C598" s="16"/>
      <c r="D598" s="25"/>
      <c r="E598" s="25"/>
      <c r="F598" s="16"/>
      <c r="G598" s="25"/>
      <c r="H598" s="16"/>
      <c r="I598" s="17"/>
    </row>
    <row r="599" spans="1:9" ht="18" customHeight="1">
      <c r="A599" s="16"/>
      <c r="B599" s="16"/>
      <c r="C599" s="16"/>
      <c r="D599" s="25"/>
      <c r="E599" s="25"/>
      <c r="F599" s="16"/>
      <c r="G599" s="25"/>
      <c r="H599" s="16"/>
      <c r="I599" s="17"/>
    </row>
    <row r="600" spans="1:9" ht="18" customHeight="1">
      <c r="A600" s="16"/>
      <c r="B600" s="16"/>
      <c r="C600" s="16"/>
      <c r="D600" s="25"/>
      <c r="E600" s="25"/>
      <c r="F600" s="16"/>
      <c r="G600" s="25"/>
      <c r="H600" s="16"/>
      <c r="I600" s="17"/>
    </row>
    <row r="601" spans="1:9" ht="18" customHeight="1">
      <c r="A601" s="16"/>
      <c r="B601" s="16"/>
      <c r="C601" s="16"/>
      <c r="D601" s="25"/>
      <c r="E601" s="25"/>
      <c r="F601" s="16"/>
      <c r="G601" s="25"/>
      <c r="H601" s="16"/>
      <c r="I601" s="17"/>
    </row>
    <row r="602" spans="1:9" ht="18" customHeight="1">
      <c r="A602" s="16"/>
      <c r="B602" s="16"/>
      <c r="C602" s="16"/>
      <c r="D602" s="25"/>
      <c r="E602" s="25"/>
      <c r="F602" s="16"/>
      <c r="G602" s="25"/>
      <c r="H602" s="16"/>
      <c r="I602" s="17"/>
    </row>
    <row r="603" spans="1:9" ht="18" customHeight="1">
      <c r="A603" s="16"/>
      <c r="B603" s="16"/>
      <c r="C603" s="16"/>
      <c r="D603" s="25"/>
      <c r="E603" s="25"/>
      <c r="F603" s="16"/>
      <c r="G603" s="25"/>
      <c r="H603" s="16"/>
      <c r="I603" s="17"/>
    </row>
    <row r="604" spans="1:9" ht="18" customHeight="1">
      <c r="A604" s="16"/>
      <c r="B604" s="16"/>
      <c r="C604" s="16"/>
      <c r="D604" s="25"/>
      <c r="E604" s="25"/>
      <c r="F604" s="16"/>
      <c r="G604" s="25"/>
      <c r="H604" s="16"/>
      <c r="I604" s="17"/>
    </row>
    <row r="605" spans="1:9" ht="18" customHeight="1">
      <c r="A605" s="16"/>
      <c r="B605" s="16"/>
      <c r="C605" s="16"/>
      <c r="D605" s="25"/>
      <c r="E605" s="25"/>
      <c r="F605" s="16"/>
      <c r="G605" s="25"/>
      <c r="H605" s="16"/>
      <c r="I605" s="17"/>
    </row>
    <row r="606" spans="1:9" ht="18" customHeight="1">
      <c r="A606" s="16"/>
      <c r="B606" s="16"/>
      <c r="C606" s="16"/>
      <c r="D606" s="25"/>
      <c r="E606" s="25"/>
      <c r="F606" s="16"/>
      <c r="G606" s="25"/>
      <c r="H606" s="16"/>
      <c r="I606" s="17"/>
    </row>
    <row r="607" spans="1:9" ht="18" customHeight="1">
      <c r="A607" s="16"/>
      <c r="B607" s="16"/>
      <c r="C607" s="16"/>
      <c r="D607" s="25"/>
      <c r="E607" s="25"/>
      <c r="F607" s="16"/>
      <c r="G607" s="25"/>
      <c r="H607" s="16"/>
      <c r="I607" s="17"/>
    </row>
    <row r="608" spans="1:9" ht="18" customHeight="1">
      <c r="A608" s="16"/>
      <c r="B608" s="16"/>
      <c r="C608" s="16"/>
      <c r="D608" s="25"/>
      <c r="E608" s="25"/>
      <c r="F608" s="16"/>
      <c r="G608" s="25"/>
      <c r="H608" s="16"/>
      <c r="I608" s="17"/>
    </row>
    <row r="609" spans="1:9" ht="18" customHeight="1">
      <c r="A609" s="16"/>
      <c r="B609" s="16"/>
      <c r="C609" s="16"/>
      <c r="D609" s="25"/>
      <c r="E609" s="25"/>
      <c r="F609" s="16"/>
      <c r="G609" s="25"/>
      <c r="H609" s="16"/>
      <c r="I609" s="17"/>
    </row>
    <row r="610" spans="1:9" ht="18" customHeight="1">
      <c r="A610" s="16"/>
      <c r="B610" s="16"/>
      <c r="C610" s="16"/>
      <c r="D610" s="25"/>
      <c r="E610" s="25"/>
      <c r="F610" s="16"/>
      <c r="G610" s="25"/>
      <c r="H610" s="16"/>
      <c r="I610" s="17"/>
    </row>
    <row r="611" spans="1:9" ht="18" customHeight="1">
      <c r="A611" s="16"/>
      <c r="B611" s="16"/>
      <c r="C611" s="16"/>
      <c r="D611" s="25"/>
      <c r="E611" s="25"/>
      <c r="F611" s="16"/>
      <c r="G611" s="25"/>
      <c r="H611" s="16"/>
      <c r="I611" s="17"/>
    </row>
    <row r="612" spans="1:9" ht="18" customHeight="1">
      <c r="A612" s="16"/>
      <c r="B612" s="16"/>
      <c r="C612" s="16"/>
      <c r="D612" s="25"/>
      <c r="E612" s="25"/>
      <c r="F612" s="16"/>
      <c r="G612" s="25"/>
      <c r="H612" s="16"/>
      <c r="I612" s="17"/>
    </row>
    <row r="613" spans="1:9" ht="18" customHeight="1">
      <c r="A613" s="16"/>
      <c r="B613" s="16"/>
      <c r="C613" s="16"/>
      <c r="D613" s="25"/>
      <c r="E613" s="25"/>
      <c r="F613" s="16"/>
      <c r="G613" s="25"/>
      <c r="H613" s="16"/>
      <c r="I613" s="17"/>
    </row>
    <row r="614" spans="1:9" ht="18" customHeight="1">
      <c r="A614" s="16"/>
      <c r="B614" s="16"/>
      <c r="C614" s="16"/>
      <c r="D614" s="25"/>
      <c r="E614" s="25"/>
      <c r="F614" s="16"/>
      <c r="G614" s="25"/>
      <c r="H614" s="16"/>
      <c r="I614" s="17"/>
    </row>
    <row r="615" spans="1:9" ht="18" customHeight="1">
      <c r="A615" s="16"/>
      <c r="B615" s="16"/>
      <c r="C615" s="16"/>
      <c r="D615" s="25"/>
      <c r="E615" s="25"/>
      <c r="F615" s="16"/>
      <c r="G615" s="25"/>
      <c r="H615" s="16"/>
      <c r="I615" s="17"/>
    </row>
    <row r="616" spans="1:9" ht="18" customHeight="1">
      <c r="A616" s="16"/>
      <c r="B616" s="16"/>
      <c r="C616" s="16"/>
      <c r="D616" s="25"/>
      <c r="E616" s="25"/>
      <c r="F616" s="16"/>
      <c r="G616" s="25"/>
      <c r="H616" s="16"/>
      <c r="I616" s="17"/>
    </row>
    <row r="617" spans="1:9" ht="18" customHeight="1">
      <c r="A617" s="16"/>
      <c r="B617" s="16"/>
      <c r="C617" s="16"/>
      <c r="D617" s="25"/>
      <c r="E617" s="25"/>
      <c r="F617" s="16"/>
      <c r="G617" s="25"/>
      <c r="H617" s="16"/>
      <c r="I617" s="17"/>
    </row>
    <row r="618" spans="1:9" ht="18" customHeight="1">
      <c r="A618" s="16"/>
      <c r="B618" s="16"/>
      <c r="C618" s="16"/>
      <c r="D618" s="25"/>
      <c r="E618" s="25"/>
      <c r="F618" s="16"/>
      <c r="G618" s="25"/>
      <c r="H618" s="16"/>
      <c r="I618" s="17"/>
    </row>
    <row r="619" spans="1:9" ht="18" customHeight="1">
      <c r="A619" s="16"/>
      <c r="B619" s="16"/>
      <c r="C619" s="16"/>
      <c r="D619" s="25"/>
      <c r="E619" s="25"/>
      <c r="F619" s="16"/>
      <c r="G619" s="25"/>
      <c r="H619" s="16"/>
      <c r="I619" s="17"/>
    </row>
    <row r="620" spans="1:9" ht="18" customHeight="1">
      <c r="A620" s="16"/>
      <c r="B620" s="16"/>
      <c r="C620" s="16"/>
      <c r="D620" s="25"/>
      <c r="E620" s="25"/>
      <c r="F620" s="16"/>
      <c r="G620" s="25"/>
      <c r="H620" s="16"/>
      <c r="I620" s="17"/>
    </row>
    <row r="621" spans="1:9" ht="18" customHeight="1">
      <c r="A621" s="16"/>
      <c r="B621" s="16"/>
      <c r="C621" s="16"/>
      <c r="D621" s="25"/>
      <c r="E621" s="25"/>
      <c r="F621" s="16"/>
      <c r="G621" s="25"/>
      <c r="H621" s="16"/>
      <c r="I621" s="17"/>
    </row>
    <row r="622" spans="1:9" ht="18" customHeight="1">
      <c r="A622" s="16"/>
      <c r="B622" s="16"/>
      <c r="C622" s="16"/>
      <c r="D622" s="25"/>
      <c r="E622" s="25"/>
      <c r="F622" s="16"/>
      <c r="G622" s="25"/>
      <c r="H622" s="16"/>
      <c r="I622" s="17"/>
    </row>
    <row r="623" spans="1:9" ht="18" customHeight="1">
      <c r="A623" s="16"/>
      <c r="B623" s="16"/>
      <c r="C623" s="16"/>
      <c r="D623" s="25"/>
      <c r="E623" s="25"/>
      <c r="F623" s="16"/>
      <c r="G623" s="25"/>
      <c r="H623" s="16"/>
      <c r="I623" s="17"/>
    </row>
    <row r="624" spans="1:9" ht="18" customHeight="1">
      <c r="A624" s="16"/>
      <c r="B624" s="16"/>
      <c r="C624" s="16"/>
      <c r="D624" s="25"/>
      <c r="E624" s="25"/>
      <c r="F624" s="16"/>
      <c r="G624" s="25"/>
      <c r="H624" s="16"/>
      <c r="I624" s="17"/>
    </row>
    <row r="625" spans="1:9" ht="18" customHeight="1">
      <c r="A625" s="16"/>
      <c r="B625" s="16"/>
      <c r="C625" s="16"/>
      <c r="D625" s="25"/>
      <c r="E625" s="25"/>
      <c r="F625" s="16"/>
      <c r="G625" s="25"/>
      <c r="H625" s="16"/>
      <c r="I625" s="17"/>
    </row>
    <row r="626" spans="1:9" ht="18" customHeight="1">
      <c r="A626" s="16"/>
      <c r="B626" s="16"/>
      <c r="C626" s="16"/>
      <c r="D626" s="25"/>
      <c r="E626" s="25"/>
      <c r="F626" s="16"/>
      <c r="G626" s="25"/>
      <c r="H626" s="16"/>
      <c r="I626" s="17"/>
    </row>
    <row r="627" spans="1:9" ht="18" customHeight="1">
      <c r="A627" s="16"/>
      <c r="B627" s="16"/>
      <c r="C627" s="16"/>
      <c r="D627" s="25"/>
      <c r="E627" s="25"/>
      <c r="F627" s="16"/>
      <c r="G627" s="25"/>
      <c r="H627" s="16"/>
      <c r="I627" s="17"/>
    </row>
    <row r="628" spans="1:9" ht="18" customHeight="1">
      <c r="A628" s="16"/>
      <c r="B628" s="16"/>
      <c r="C628" s="16"/>
      <c r="D628" s="25"/>
      <c r="E628" s="25"/>
      <c r="F628" s="16"/>
      <c r="G628" s="25"/>
      <c r="H628" s="16"/>
      <c r="I628" s="17"/>
    </row>
    <row r="629" spans="1:9" ht="18" customHeight="1">
      <c r="A629" s="16"/>
      <c r="B629" s="16"/>
      <c r="C629" s="16"/>
      <c r="D629" s="25"/>
      <c r="E629" s="25"/>
      <c r="F629" s="16"/>
      <c r="G629" s="25"/>
      <c r="H629" s="16"/>
      <c r="I629" s="17"/>
    </row>
    <row r="630" spans="1:9" ht="18" customHeight="1">
      <c r="A630" s="16"/>
      <c r="B630" s="16"/>
      <c r="C630" s="16"/>
      <c r="D630" s="25"/>
      <c r="E630" s="25"/>
      <c r="F630" s="16"/>
      <c r="G630" s="25"/>
      <c r="H630" s="16"/>
      <c r="I630" s="17"/>
    </row>
    <row r="631" spans="1:9" ht="18" customHeight="1">
      <c r="A631" s="16"/>
      <c r="B631" s="16"/>
      <c r="C631" s="16"/>
      <c r="D631" s="25"/>
      <c r="E631" s="25"/>
      <c r="F631" s="16"/>
      <c r="G631" s="25"/>
      <c r="H631" s="16"/>
      <c r="I631" s="17"/>
    </row>
    <row r="632" spans="1:9" ht="18" customHeight="1">
      <c r="A632" s="16"/>
      <c r="B632" s="16"/>
      <c r="C632" s="16"/>
      <c r="D632" s="25"/>
      <c r="E632" s="25"/>
      <c r="F632" s="16"/>
      <c r="G632" s="25"/>
      <c r="H632" s="16"/>
      <c r="I632" s="17"/>
    </row>
    <row r="633" spans="1:9" ht="18" customHeight="1">
      <c r="A633" s="16"/>
      <c r="B633" s="16"/>
      <c r="C633" s="16"/>
      <c r="D633" s="25"/>
      <c r="E633" s="25"/>
      <c r="F633" s="16"/>
      <c r="G633" s="25"/>
      <c r="H633" s="16"/>
      <c r="I633" s="17"/>
    </row>
    <row r="634" spans="1:9" ht="18" customHeight="1">
      <c r="A634" s="16"/>
      <c r="B634" s="16"/>
      <c r="C634" s="16"/>
      <c r="D634" s="25"/>
      <c r="E634" s="25"/>
      <c r="F634" s="16"/>
      <c r="G634" s="25"/>
      <c r="H634" s="16"/>
      <c r="I634" s="17"/>
    </row>
    <row r="635" spans="1:9" ht="18" customHeight="1">
      <c r="A635" s="16"/>
      <c r="B635" s="16"/>
      <c r="C635" s="16"/>
      <c r="D635" s="25"/>
      <c r="E635" s="25"/>
      <c r="F635" s="16"/>
      <c r="G635" s="25"/>
      <c r="H635" s="16"/>
      <c r="I635" s="17"/>
    </row>
    <row r="636" spans="1:9" ht="18" customHeight="1">
      <c r="A636" s="16"/>
      <c r="B636" s="16"/>
      <c r="C636" s="16"/>
      <c r="D636" s="25"/>
      <c r="E636" s="25"/>
      <c r="F636" s="16"/>
      <c r="G636" s="25"/>
      <c r="H636" s="16"/>
      <c r="I636" s="17"/>
    </row>
    <row r="637" spans="1:9" ht="18" customHeight="1">
      <c r="A637" s="16"/>
      <c r="B637" s="16"/>
      <c r="C637" s="16"/>
      <c r="D637" s="25"/>
      <c r="E637" s="25"/>
      <c r="F637" s="16"/>
      <c r="G637" s="25"/>
      <c r="H637" s="16"/>
      <c r="I637" s="17"/>
    </row>
    <row r="638" spans="1:9" ht="18" customHeight="1">
      <c r="A638" s="16"/>
      <c r="B638" s="16"/>
      <c r="C638" s="16"/>
      <c r="D638" s="25"/>
      <c r="E638" s="25"/>
      <c r="F638" s="16"/>
      <c r="G638" s="25"/>
      <c r="H638" s="16"/>
      <c r="I638" s="17"/>
    </row>
    <row r="639" spans="1:9" ht="18" customHeight="1">
      <c r="A639" s="16"/>
      <c r="B639" s="16"/>
      <c r="C639" s="16"/>
      <c r="D639" s="25"/>
      <c r="E639" s="25"/>
      <c r="F639" s="16"/>
      <c r="G639" s="25"/>
      <c r="H639" s="16"/>
      <c r="I639" s="17"/>
    </row>
    <row r="640" spans="1:9" ht="18" customHeight="1">
      <c r="A640" s="16"/>
      <c r="B640" s="16"/>
      <c r="C640" s="16"/>
      <c r="D640" s="25"/>
      <c r="E640" s="25"/>
      <c r="F640" s="16"/>
      <c r="G640" s="25"/>
      <c r="H640" s="16"/>
      <c r="I640" s="17"/>
    </row>
    <row r="641" spans="1:9" ht="18" customHeight="1">
      <c r="A641" s="16"/>
      <c r="B641" s="16"/>
      <c r="C641" s="16"/>
      <c r="D641" s="25"/>
      <c r="E641" s="25"/>
      <c r="F641" s="16"/>
      <c r="G641" s="25"/>
      <c r="H641" s="16"/>
      <c r="I641" s="17"/>
    </row>
    <row r="642" spans="1:9" ht="18" customHeight="1">
      <c r="A642" s="16"/>
      <c r="B642" s="16"/>
      <c r="C642" s="16"/>
      <c r="D642" s="25"/>
      <c r="E642" s="25"/>
      <c r="F642" s="16"/>
      <c r="G642" s="25"/>
      <c r="H642" s="16"/>
      <c r="I642" s="17"/>
    </row>
    <row r="643" spans="1:9" ht="18" customHeight="1">
      <c r="A643" s="16"/>
      <c r="B643" s="16"/>
      <c r="C643" s="16"/>
      <c r="D643" s="25"/>
      <c r="E643" s="25"/>
      <c r="F643" s="16"/>
      <c r="G643" s="25"/>
      <c r="H643" s="16"/>
      <c r="I643" s="17"/>
    </row>
    <row r="644" spans="1:9" ht="18" customHeight="1">
      <c r="A644" s="16"/>
      <c r="B644" s="16"/>
      <c r="C644" s="16"/>
      <c r="D644" s="25"/>
      <c r="E644" s="25"/>
      <c r="F644" s="16"/>
      <c r="G644" s="25"/>
      <c r="H644" s="16"/>
      <c r="I644" s="17"/>
    </row>
    <row r="645" spans="1:9" ht="18" customHeight="1">
      <c r="A645" s="16"/>
      <c r="B645" s="16"/>
      <c r="C645" s="16"/>
      <c r="D645" s="25"/>
      <c r="E645" s="25"/>
      <c r="F645" s="16"/>
      <c r="G645" s="25"/>
      <c r="H645" s="16"/>
      <c r="I645" s="17"/>
    </row>
    <row r="646" spans="1:9" ht="18" customHeight="1">
      <c r="A646" s="16"/>
      <c r="B646" s="16"/>
      <c r="C646" s="16"/>
      <c r="D646" s="25"/>
      <c r="E646" s="25"/>
      <c r="F646" s="16"/>
      <c r="G646" s="25"/>
      <c r="H646" s="16"/>
      <c r="I646" s="17"/>
    </row>
    <row r="647" spans="1:9" ht="18" customHeight="1">
      <c r="A647" s="16"/>
      <c r="B647" s="16"/>
      <c r="C647" s="16"/>
      <c r="D647" s="25"/>
      <c r="E647" s="25"/>
      <c r="F647" s="16"/>
      <c r="G647" s="25"/>
      <c r="H647" s="16"/>
      <c r="I647" s="17"/>
    </row>
    <row r="648" spans="1:9" ht="18" customHeight="1">
      <c r="A648" s="16"/>
      <c r="B648" s="16"/>
      <c r="C648" s="16"/>
      <c r="D648" s="25"/>
      <c r="E648" s="25"/>
      <c r="F648" s="16"/>
      <c r="G648" s="25"/>
      <c r="H648" s="16"/>
      <c r="I648" s="17"/>
    </row>
    <row r="649" spans="1:9" ht="18" customHeight="1">
      <c r="A649" s="16"/>
      <c r="B649" s="16"/>
      <c r="C649" s="16"/>
      <c r="D649" s="25"/>
      <c r="E649" s="25"/>
      <c r="F649" s="16"/>
      <c r="G649" s="25"/>
      <c r="H649" s="16"/>
      <c r="I649" s="17"/>
    </row>
    <row r="650" spans="1:9" ht="18" customHeight="1">
      <c r="A650" s="16"/>
      <c r="B650" s="16"/>
      <c r="C650" s="16"/>
      <c r="D650" s="25"/>
      <c r="E650" s="25"/>
      <c r="F650" s="16"/>
      <c r="G650" s="25"/>
      <c r="H650" s="16"/>
      <c r="I650" s="17"/>
    </row>
    <row r="651" spans="1:9" ht="18" customHeight="1">
      <c r="A651" s="16"/>
      <c r="B651" s="16"/>
      <c r="C651" s="16"/>
      <c r="D651" s="25"/>
      <c r="E651" s="25"/>
      <c r="F651" s="16"/>
      <c r="G651" s="25"/>
      <c r="H651" s="16"/>
      <c r="I651" s="17"/>
    </row>
    <row r="652" spans="1:9" ht="18" customHeight="1">
      <c r="A652" s="16"/>
      <c r="B652" s="16"/>
      <c r="C652" s="16"/>
      <c r="D652" s="25"/>
      <c r="E652" s="25"/>
      <c r="F652" s="16"/>
      <c r="G652" s="25"/>
      <c r="H652" s="16"/>
      <c r="I652" s="17"/>
    </row>
    <row r="653" spans="1:9" ht="18" customHeight="1">
      <c r="A653" s="16"/>
      <c r="B653" s="16"/>
      <c r="C653" s="16"/>
      <c r="D653" s="25"/>
      <c r="E653" s="25"/>
      <c r="F653" s="16"/>
      <c r="G653" s="25"/>
      <c r="H653" s="16"/>
      <c r="I653" s="17"/>
    </row>
    <row r="654" spans="1:9" ht="18" customHeight="1">
      <c r="A654" s="16"/>
      <c r="B654" s="16"/>
      <c r="C654" s="16"/>
      <c r="D654" s="25"/>
      <c r="E654" s="25"/>
      <c r="F654" s="16"/>
      <c r="G654" s="25"/>
      <c r="H654" s="16"/>
      <c r="I654" s="17"/>
    </row>
    <row r="655" spans="1:9" ht="18" customHeight="1">
      <c r="A655" s="16"/>
      <c r="B655" s="16"/>
      <c r="C655" s="16"/>
      <c r="D655" s="25"/>
      <c r="E655" s="25"/>
      <c r="F655" s="16"/>
      <c r="G655" s="25"/>
      <c r="H655" s="16"/>
      <c r="I655" s="17"/>
    </row>
    <row r="656" spans="1:9" ht="18" customHeight="1">
      <c r="A656" s="16"/>
      <c r="B656" s="16"/>
      <c r="C656" s="16"/>
      <c r="D656" s="25"/>
      <c r="E656" s="25"/>
      <c r="F656" s="16"/>
      <c r="G656" s="25"/>
      <c r="H656" s="16"/>
      <c r="I656" s="17"/>
    </row>
    <row r="657" spans="1:9" ht="18" customHeight="1">
      <c r="A657" s="16"/>
      <c r="B657" s="16"/>
      <c r="C657" s="16"/>
      <c r="D657" s="25"/>
      <c r="E657" s="25"/>
      <c r="F657" s="16"/>
      <c r="G657" s="25"/>
      <c r="H657" s="16"/>
      <c r="I657" s="17"/>
    </row>
    <row r="658" spans="1:9" ht="18" customHeight="1">
      <c r="A658" s="16"/>
      <c r="B658" s="16"/>
      <c r="C658" s="16"/>
      <c r="D658" s="25"/>
      <c r="E658" s="25"/>
      <c r="F658" s="16"/>
      <c r="G658" s="25"/>
      <c r="H658" s="16"/>
      <c r="I658" s="17"/>
    </row>
    <row r="659" spans="1:9" ht="18" customHeight="1">
      <c r="A659" s="16"/>
      <c r="B659" s="16"/>
      <c r="C659" s="16"/>
      <c r="D659" s="25"/>
      <c r="E659" s="25"/>
      <c r="F659" s="16"/>
      <c r="G659" s="25"/>
      <c r="H659" s="16"/>
      <c r="I659" s="17"/>
    </row>
    <row r="660" spans="1:9" ht="18" customHeight="1">
      <c r="A660" s="16"/>
      <c r="B660" s="16"/>
      <c r="C660" s="16"/>
      <c r="D660" s="25"/>
      <c r="E660" s="25"/>
      <c r="F660" s="16"/>
      <c r="G660" s="25"/>
      <c r="H660" s="16"/>
      <c r="I660" s="17"/>
    </row>
    <row r="661" spans="1:9" ht="18" customHeight="1">
      <c r="A661" s="16"/>
      <c r="B661" s="16"/>
      <c r="C661" s="16"/>
      <c r="D661" s="25"/>
      <c r="E661" s="25"/>
      <c r="F661" s="16"/>
      <c r="G661" s="25"/>
      <c r="H661" s="16"/>
      <c r="I661" s="17"/>
    </row>
    <row r="662" spans="1:9" ht="18" customHeight="1">
      <c r="A662" s="16"/>
      <c r="B662" s="16"/>
      <c r="C662" s="16"/>
      <c r="D662" s="25"/>
      <c r="E662" s="25"/>
      <c r="F662" s="16"/>
      <c r="G662" s="25"/>
      <c r="H662" s="16"/>
      <c r="I662" s="17"/>
    </row>
    <row r="663" spans="1:9" ht="18" customHeight="1">
      <c r="A663" s="16"/>
      <c r="B663" s="16"/>
      <c r="C663" s="16"/>
      <c r="D663" s="25"/>
      <c r="E663" s="25"/>
      <c r="F663" s="16"/>
      <c r="G663" s="25"/>
      <c r="H663" s="16"/>
      <c r="I663" s="17"/>
    </row>
    <row r="664" spans="1:9" ht="18" customHeight="1">
      <c r="A664" s="16"/>
      <c r="B664" s="16"/>
      <c r="C664" s="16"/>
      <c r="D664" s="25"/>
      <c r="E664" s="25"/>
      <c r="F664" s="16"/>
      <c r="G664" s="25"/>
      <c r="H664" s="16"/>
      <c r="I664" s="17"/>
    </row>
    <row r="665" spans="1:9" ht="18" customHeight="1">
      <c r="A665" s="16"/>
      <c r="B665" s="16"/>
      <c r="C665" s="16"/>
      <c r="D665" s="25"/>
      <c r="E665" s="25"/>
      <c r="F665" s="16"/>
      <c r="G665" s="25"/>
      <c r="H665" s="16"/>
      <c r="I665" s="17"/>
    </row>
    <row r="666" spans="1:9" ht="18" customHeight="1">
      <c r="A666" s="16"/>
      <c r="B666" s="16"/>
      <c r="C666" s="16"/>
      <c r="D666" s="25"/>
      <c r="E666" s="25"/>
      <c r="F666" s="16"/>
      <c r="G666" s="25"/>
      <c r="H666" s="16"/>
      <c r="I666" s="17"/>
    </row>
    <row r="667" spans="1:9" ht="18" customHeight="1">
      <c r="A667" s="16"/>
      <c r="B667" s="16"/>
      <c r="C667" s="16"/>
      <c r="D667" s="25"/>
      <c r="E667" s="25"/>
      <c r="F667" s="16"/>
      <c r="G667" s="25"/>
      <c r="H667" s="16"/>
      <c r="I667" s="17"/>
    </row>
    <row r="668" spans="1:9" ht="18" customHeight="1">
      <c r="A668" s="16"/>
      <c r="B668" s="16"/>
      <c r="C668" s="16"/>
      <c r="D668" s="25"/>
      <c r="E668" s="25"/>
      <c r="F668" s="16"/>
      <c r="G668" s="25"/>
      <c r="H668" s="16"/>
      <c r="I668" s="17"/>
    </row>
    <row r="669" spans="1:9" ht="18" customHeight="1">
      <c r="A669" s="16"/>
      <c r="B669" s="16"/>
      <c r="C669" s="16"/>
      <c r="D669" s="25"/>
      <c r="E669" s="25"/>
      <c r="F669" s="16"/>
      <c r="G669" s="25"/>
      <c r="H669" s="16"/>
      <c r="I669" s="17"/>
    </row>
    <row r="670" spans="1:9" ht="18" customHeight="1">
      <c r="A670" s="16"/>
      <c r="B670" s="16"/>
      <c r="C670" s="16"/>
      <c r="D670" s="25"/>
      <c r="E670" s="25"/>
      <c r="F670" s="16"/>
      <c r="G670" s="25"/>
      <c r="H670" s="16"/>
      <c r="I670" s="17"/>
    </row>
    <row r="671" spans="1:9" ht="18" customHeight="1">
      <c r="A671" s="16"/>
      <c r="B671" s="16"/>
      <c r="C671" s="16"/>
      <c r="D671" s="25"/>
      <c r="E671" s="25"/>
      <c r="F671" s="16"/>
      <c r="G671" s="25"/>
      <c r="H671" s="16"/>
      <c r="I671" s="17"/>
    </row>
    <row r="672" spans="1:9" ht="18" customHeight="1">
      <c r="A672" s="16"/>
      <c r="B672" s="16"/>
      <c r="C672" s="16"/>
      <c r="D672" s="25"/>
      <c r="E672" s="25"/>
      <c r="F672" s="16"/>
      <c r="G672" s="25"/>
      <c r="H672" s="16"/>
      <c r="I672" s="17"/>
    </row>
    <row r="673" spans="1:9" ht="18" customHeight="1">
      <c r="A673" s="16"/>
      <c r="B673" s="16"/>
      <c r="C673" s="16"/>
      <c r="D673" s="25"/>
      <c r="E673" s="25"/>
      <c r="F673" s="16"/>
      <c r="G673" s="25"/>
      <c r="H673" s="16"/>
      <c r="I673" s="17"/>
    </row>
    <row r="674" spans="1:9" ht="18" customHeight="1">
      <c r="A674" s="16"/>
      <c r="B674" s="16"/>
      <c r="C674" s="16"/>
      <c r="D674" s="25"/>
      <c r="E674" s="25"/>
      <c r="F674" s="16"/>
      <c r="G674" s="25"/>
      <c r="H674" s="16"/>
      <c r="I674" s="17"/>
    </row>
    <row r="675" spans="1:9" ht="18" customHeight="1">
      <c r="A675" s="16"/>
      <c r="B675" s="16"/>
      <c r="C675" s="16"/>
      <c r="D675" s="25"/>
      <c r="E675" s="25"/>
      <c r="F675" s="16"/>
      <c r="G675" s="25"/>
      <c r="H675" s="16"/>
      <c r="I675" s="17"/>
    </row>
    <row r="676" spans="1:9" ht="18" customHeight="1">
      <c r="A676" s="16"/>
      <c r="B676" s="16"/>
      <c r="C676" s="16"/>
      <c r="D676" s="25"/>
      <c r="E676" s="25"/>
      <c r="F676" s="16"/>
      <c r="G676" s="25"/>
      <c r="H676" s="16"/>
      <c r="I676" s="17"/>
    </row>
    <row r="677" spans="1:9" ht="18" customHeight="1">
      <c r="A677" s="16"/>
      <c r="B677" s="16"/>
      <c r="C677" s="16"/>
      <c r="D677" s="25"/>
      <c r="E677" s="25"/>
      <c r="F677" s="16"/>
      <c r="G677" s="25"/>
      <c r="H677" s="16"/>
      <c r="I677" s="17"/>
    </row>
    <row r="678" spans="1:9" ht="18" customHeight="1">
      <c r="A678" s="16"/>
      <c r="B678" s="16"/>
      <c r="C678" s="16"/>
      <c r="D678" s="25"/>
      <c r="E678" s="25"/>
      <c r="F678" s="16"/>
      <c r="G678" s="25"/>
      <c r="H678" s="16"/>
      <c r="I678" s="17"/>
    </row>
    <row r="679" spans="1:9" ht="18" customHeight="1">
      <c r="A679" s="16"/>
      <c r="B679" s="16"/>
      <c r="C679" s="16"/>
      <c r="D679" s="25"/>
      <c r="E679" s="25"/>
      <c r="F679" s="16"/>
      <c r="G679" s="25"/>
      <c r="H679" s="16"/>
      <c r="I679" s="17"/>
    </row>
    <row r="680" spans="1:9" ht="18" customHeight="1">
      <c r="A680" s="16"/>
      <c r="B680" s="16"/>
      <c r="C680" s="16"/>
      <c r="D680" s="25"/>
      <c r="E680" s="25"/>
      <c r="F680" s="16"/>
      <c r="G680" s="25"/>
      <c r="H680" s="16"/>
      <c r="I680" s="17"/>
    </row>
    <row r="681" spans="1:9" ht="18" customHeight="1">
      <c r="A681" s="16"/>
      <c r="B681" s="16"/>
      <c r="C681" s="16"/>
      <c r="D681" s="25"/>
      <c r="E681" s="25"/>
      <c r="F681" s="16"/>
      <c r="G681" s="25"/>
      <c r="H681" s="16"/>
      <c r="I681" s="17"/>
    </row>
    <row r="682" spans="1:9" ht="18" customHeight="1">
      <c r="A682" s="16"/>
      <c r="B682" s="16"/>
      <c r="C682" s="16"/>
      <c r="D682" s="25"/>
      <c r="E682" s="25"/>
      <c r="F682" s="16"/>
      <c r="G682" s="25"/>
      <c r="H682" s="16"/>
      <c r="I682" s="17"/>
    </row>
    <row r="683" spans="1:9" ht="18" customHeight="1">
      <c r="A683" s="16"/>
      <c r="B683" s="16"/>
      <c r="C683" s="16"/>
      <c r="D683" s="25"/>
      <c r="E683" s="25"/>
      <c r="F683" s="16"/>
      <c r="G683" s="25"/>
      <c r="H683" s="16"/>
      <c r="I683" s="17"/>
    </row>
    <row r="684" spans="1:9" ht="18" customHeight="1">
      <c r="A684" s="16"/>
      <c r="B684" s="16"/>
      <c r="C684" s="16"/>
      <c r="D684" s="25"/>
      <c r="E684" s="25"/>
      <c r="F684" s="16"/>
      <c r="G684" s="25"/>
      <c r="H684" s="16"/>
      <c r="I684" s="17"/>
    </row>
    <row r="685" spans="1:9" ht="18" customHeight="1">
      <c r="A685" s="16"/>
      <c r="B685" s="16"/>
      <c r="C685" s="16"/>
      <c r="D685" s="25"/>
      <c r="E685" s="25"/>
      <c r="F685" s="16"/>
      <c r="G685" s="25"/>
      <c r="H685" s="16"/>
      <c r="I685" s="17"/>
    </row>
    <row r="686" spans="1:9" ht="18" customHeight="1">
      <c r="A686" s="16"/>
      <c r="B686" s="16"/>
      <c r="C686" s="16"/>
      <c r="D686" s="25"/>
      <c r="E686" s="25"/>
      <c r="F686" s="16"/>
      <c r="G686" s="25"/>
      <c r="H686" s="16"/>
      <c r="I686" s="17"/>
    </row>
    <row r="687" spans="1:9" ht="18" customHeight="1">
      <c r="A687" s="16"/>
      <c r="B687" s="16"/>
      <c r="C687" s="16"/>
      <c r="D687" s="25"/>
      <c r="E687" s="25"/>
      <c r="F687" s="16"/>
      <c r="G687" s="25"/>
      <c r="H687" s="16"/>
      <c r="I687" s="17"/>
    </row>
    <row r="688" spans="1:9" ht="18" customHeight="1">
      <c r="A688" s="16"/>
      <c r="B688" s="16"/>
      <c r="C688" s="16"/>
      <c r="D688" s="25"/>
      <c r="E688" s="25"/>
      <c r="F688" s="16"/>
      <c r="G688" s="25"/>
      <c r="H688" s="16"/>
      <c r="I688" s="17"/>
    </row>
    <row r="689" spans="1:9" ht="18" customHeight="1">
      <c r="A689" s="16"/>
      <c r="B689" s="16"/>
      <c r="C689" s="16"/>
      <c r="D689" s="25"/>
      <c r="E689" s="25"/>
      <c r="F689" s="16"/>
      <c r="G689" s="25"/>
      <c r="H689" s="16"/>
      <c r="I689" s="17"/>
    </row>
    <row r="690" spans="1:9" ht="18" customHeight="1">
      <c r="A690" s="16"/>
      <c r="B690" s="16"/>
      <c r="C690" s="16"/>
      <c r="D690" s="25"/>
      <c r="E690" s="25"/>
      <c r="F690" s="16"/>
      <c r="G690" s="25"/>
      <c r="H690" s="16"/>
      <c r="I690" s="17"/>
    </row>
    <row r="691" spans="1:9" ht="18" customHeight="1">
      <c r="A691" s="16"/>
      <c r="B691" s="16"/>
      <c r="C691" s="16"/>
      <c r="D691" s="25"/>
      <c r="E691" s="25"/>
      <c r="F691" s="16"/>
      <c r="G691" s="25"/>
      <c r="H691" s="16"/>
      <c r="I691" s="17"/>
    </row>
    <row r="692" spans="1:9" ht="18" customHeight="1">
      <c r="A692" s="16"/>
      <c r="B692" s="16"/>
      <c r="C692" s="16"/>
      <c r="D692" s="25"/>
      <c r="E692" s="25"/>
      <c r="F692" s="16"/>
      <c r="G692" s="25"/>
      <c r="H692" s="16"/>
      <c r="I692" s="17"/>
    </row>
    <row r="693" spans="1:9" ht="18" customHeight="1">
      <c r="A693" s="16"/>
      <c r="B693" s="16"/>
      <c r="C693" s="16"/>
      <c r="D693" s="25"/>
      <c r="E693" s="25"/>
      <c r="F693" s="16"/>
      <c r="G693" s="25"/>
      <c r="H693" s="16"/>
      <c r="I693" s="17"/>
    </row>
    <row r="694" spans="1:9" ht="18" customHeight="1">
      <c r="A694" s="16"/>
      <c r="B694" s="16"/>
      <c r="C694" s="16"/>
      <c r="D694" s="25"/>
      <c r="E694" s="25"/>
      <c r="F694" s="16"/>
      <c r="G694" s="25"/>
      <c r="H694" s="16"/>
      <c r="I694" s="17"/>
    </row>
    <row r="695" spans="1:9" ht="18" customHeight="1">
      <c r="A695" s="16"/>
      <c r="B695" s="16"/>
      <c r="C695" s="16"/>
      <c r="D695" s="25"/>
      <c r="E695" s="25"/>
      <c r="F695" s="16"/>
      <c r="G695" s="25"/>
      <c r="H695" s="16"/>
      <c r="I695" s="17"/>
    </row>
    <row r="696" spans="1:9" ht="18" customHeight="1">
      <c r="A696" s="16"/>
      <c r="B696" s="16"/>
      <c r="C696" s="16"/>
      <c r="D696" s="25"/>
      <c r="E696" s="25"/>
      <c r="F696" s="16"/>
      <c r="G696" s="25"/>
      <c r="H696" s="16"/>
      <c r="I696" s="17"/>
    </row>
    <row r="697" spans="1:9" ht="18" customHeight="1">
      <c r="A697" s="16"/>
      <c r="B697" s="16"/>
      <c r="C697" s="16"/>
      <c r="D697" s="25"/>
      <c r="E697" s="25"/>
      <c r="F697" s="16"/>
      <c r="G697" s="25"/>
      <c r="H697" s="16"/>
      <c r="I697" s="17"/>
    </row>
    <row r="698" spans="1:9" ht="18" customHeight="1">
      <c r="A698" s="16"/>
      <c r="B698" s="16"/>
      <c r="C698" s="16"/>
      <c r="D698" s="25"/>
      <c r="E698" s="25"/>
      <c r="F698" s="16"/>
      <c r="G698" s="25"/>
      <c r="H698" s="16"/>
      <c r="I698" s="17"/>
    </row>
    <row r="699" spans="1:9" ht="18" customHeight="1">
      <c r="A699" s="16"/>
      <c r="B699" s="16"/>
      <c r="C699" s="16"/>
      <c r="D699" s="25"/>
      <c r="E699" s="25"/>
      <c r="F699" s="16"/>
      <c r="G699" s="25"/>
      <c r="H699" s="16"/>
      <c r="I699" s="17"/>
    </row>
    <row r="700" spans="1:9" ht="18" customHeight="1">
      <c r="A700" s="16"/>
      <c r="B700" s="16"/>
      <c r="C700" s="16"/>
      <c r="D700" s="25"/>
      <c r="E700" s="25"/>
      <c r="F700" s="16"/>
      <c r="G700" s="25"/>
      <c r="H700" s="16"/>
      <c r="I700" s="17"/>
    </row>
    <row r="701" spans="1:9" ht="18" customHeight="1">
      <c r="A701" s="16"/>
      <c r="B701" s="16"/>
      <c r="C701" s="16"/>
      <c r="D701" s="25"/>
      <c r="E701" s="25"/>
      <c r="F701" s="16"/>
      <c r="G701" s="25"/>
      <c r="H701" s="16"/>
      <c r="I701" s="17"/>
    </row>
    <row r="702" spans="1:9" ht="18" customHeight="1">
      <c r="A702" s="16"/>
      <c r="B702" s="16"/>
      <c r="C702" s="16"/>
      <c r="D702" s="25"/>
      <c r="E702" s="25"/>
      <c r="F702" s="16"/>
      <c r="G702" s="25"/>
      <c r="H702" s="16"/>
      <c r="I702" s="17"/>
    </row>
    <row r="703" spans="1:9" ht="18" customHeight="1">
      <c r="A703" s="16"/>
      <c r="B703" s="16"/>
      <c r="C703" s="16"/>
      <c r="D703" s="25"/>
      <c r="E703" s="25"/>
      <c r="F703" s="16"/>
      <c r="G703" s="25"/>
      <c r="H703" s="16"/>
      <c r="I703" s="17"/>
    </row>
    <row r="704" spans="1:9" ht="18" customHeight="1">
      <c r="A704" s="16"/>
      <c r="B704" s="16"/>
      <c r="C704" s="16"/>
      <c r="D704" s="25"/>
      <c r="E704" s="25"/>
      <c r="F704" s="16"/>
      <c r="G704" s="25"/>
      <c r="H704" s="16"/>
      <c r="I704" s="17"/>
    </row>
    <row r="705" spans="1:9" ht="18" customHeight="1">
      <c r="A705" s="16"/>
      <c r="B705" s="16"/>
      <c r="C705" s="16"/>
      <c r="D705" s="25"/>
      <c r="E705" s="25"/>
      <c r="F705" s="16"/>
      <c r="G705" s="25"/>
      <c r="H705" s="16"/>
      <c r="I705" s="17"/>
    </row>
    <row r="706" spans="1:9" ht="18" customHeight="1">
      <c r="A706" s="16"/>
      <c r="B706" s="16"/>
      <c r="C706" s="16"/>
      <c r="D706" s="25"/>
      <c r="E706" s="25"/>
      <c r="F706" s="16"/>
      <c r="G706" s="25"/>
      <c r="H706" s="16"/>
      <c r="I706" s="17"/>
    </row>
    <row r="707" spans="1:9" ht="18" customHeight="1">
      <c r="A707" s="16"/>
      <c r="B707" s="16"/>
      <c r="C707" s="16"/>
      <c r="D707" s="25"/>
      <c r="E707" s="25"/>
      <c r="F707" s="16"/>
      <c r="G707" s="25"/>
      <c r="H707" s="16"/>
      <c r="I707" s="17"/>
    </row>
    <row r="708" spans="1:9" ht="18" customHeight="1">
      <c r="A708" s="16"/>
      <c r="B708" s="16"/>
      <c r="C708" s="16"/>
      <c r="D708" s="25"/>
      <c r="E708" s="25"/>
      <c r="F708" s="16"/>
      <c r="G708" s="25"/>
      <c r="H708" s="16"/>
      <c r="I708" s="17"/>
    </row>
    <row r="709" spans="1:9" ht="18" customHeight="1">
      <c r="A709" s="16"/>
      <c r="B709" s="16"/>
      <c r="C709" s="16"/>
      <c r="D709" s="25"/>
      <c r="E709" s="25"/>
      <c r="F709" s="16"/>
      <c r="G709" s="25"/>
      <c r="H709" s="16"/>
      <c r="I709" s="17"/>
    </row>
    <row r="710" spans="1:9" ht="18" customHeight="1">
      <c r="A710" s="16"/>
      <c r="B710" s="16"/>
      <c r="C710" s="16"/>
      <c r="D710" s="25"/>
      <c r="E710" s="25"/>
      <c r="F710" s="16"/>
      <c r="G710" s="25"/>
      <c r="H710" s="16"/>
      <c r="I710" s="17"/>
    </row>
    <row r="711" spans="1:9" ht="18" customHeight="1">
      <c r="A711" s="16"/>
      <c r="B711" s="16"/>
      <c r="C711" s="16"/>
      <c r="D711" s="25"/>
      <c r="E711" s="25"/>
      <c r="F711" s="16"/>
      <c r="G711" s="25"/>
      <c r="H711" s="16"/>
      <c r="I711" s="17"/>
    </row>
    <row r="712" spans="1:9" ht="18" customHeight="1">
      <c r="A712" s="16"/>
      <c r="B712" s="16"/>
      <c r="C712" s="16"/>
      <c r="D712" s="25"/>
      <c r="E712" s="25"/>
      <c r="F712" s="16"/>
      <c r="G712" s="25"/>
      <c r="H712" s="16"/>
      <c r="I712" s="17"/>
    </row>
    <row r="713" spans="1:9" ht="18" customHeight="1">
      <c r="A713" s="16"/>
      <c r="B713" s="16"/>
      <c r="C713" s="16"/>
      <c r="D713" s="25"/>
      <c r="E713" s="25"/>
      <c r="F713" s="16"/>
      <c r="G713" s="25"/>
      <c r="H713" s="16"/>
      <c r="I713" s="17"/>
    </row>
    <row r="714" spans="1:9" ht="18" customHeight="1">
      <c r="A714" s="16"/>
      <c r="B714" s="16"/>
      <c r="C714" s="16"/>
      <c r="D714" s="25"/>
      <c r="E714" s="25"/>
      <c r="F714" s="16"/>
      <c r="G714" s="25"/>
      <c r="H714" s="16"/>
      <c r="I714" s="17"/>
    </row>
    <row r="715" spans="1:9" ht="18" customHeight="1">
      <c r="A715" s="16"/>
      <c r="B715" s="16"/>
      <c r="C715" s="16"/>
      <c r="D715" s="25"/>
      <c r="E715" s="25"/>
      <c r="F715" s="16"/>
      <c r="G715" s="25"/>
      <c r="H715" s="16"/>
      <c r="I715" s="17"/>
    </row>
    <row r="716" spans="1:9" ht="18" customHeight="1">
      <c r="A716" s="16"/>
      <c r="B716" s="16"/>
      <c r="C716" s="16"/>
      <c r="D716" s="25"/>
      <c r="E716" s="25"/>
      <c r="F716" s="16"/>
      <c r="G716" s="25"/>
      <c r="H716" s="16"/>
      <c r="I716" s="17"/>
    </row>
    <row r="717" spans="1:9" ht="18" customHeight="1">
      <c r="A717" s="16"/>
      <c r="B717" s="16"/>
      <c r="C717" s="16"/>
      <c r="D717" s="25"/>
      <c r="E717" s="25"/>
      <c r="F717" s="16"/>
      <c r="G717" s="25"/>
      <c r="H717" s="16"/>
      <c r="I717" s="17"/>
    </row>
    <row r="718" spans="1:9" ht="18" customHeight="1">
      <c r="A718" s="16"/>
      <c r="B718" s="16"/>
      <c r="C718" s="16"/>
      <c r="D718" s="25"/>
      <c r="E718" s="25"/>
      <c r="F718" s="16"/>
      <c r="G718" s="25"/>
      <c r="H718" s="16"/>
      <c r="I718" s="17"/>
    </row>
    <row r="719" spans="1:9" ht="18" customHeight="1">
      <c r="A719" s="16"/>
      <c r="B719" s="16"/>
      <c r="C719" s="16"/>
      <c r="D719" s="25"/>
      <c r="E719" s="25"/>
      <c r="F719" s="16"/>
      <c r="G719" s="25"/>
      <c r="H719" s="16"/>
      <c r="I719" s="17"/>
    </row>
    <row r="720" spans="1:9" ht="18" customHeight="1">
      <c r="A720" s="16"/>
      <c r="B720" s="16"/>
      <c r="C720" s="16"/>
      <c r="D720" s="25"/>
      <c r="E720" s="25"/>
      <c r="F720" s="16"/>
      <c r="G720" s="25"/>
      <c r="H720" s="16"/>
      <c r="I720" s="17"/>
    </row>
    <row r="721" spans="1:9" ht="18" customHeight="1">
      <c r="A721" s="16"/>
      <c r="B721" s="16"/>
      <c r="C721" s="16"/>
      <c r="D721" s="25"/>
      <c r="E721" s="25"/>
      <c r="F721" s="16"/>
      <c r="G721" s="25"/>
      <c r="H721" s="16"/>
      <c r="I721" s="17"/>
    </row>
    <row r="722" spans="1:9" ht="18" customHeight="1">
      <c r="A722" s="16"/>
      <c r="B722" s="16"/>
      <c r="C722" s="16"/>
      <c r="D722" s="25"/>
      <c r="E722" s="25"/>
      <c r="F722" s="16"/>
      <c r="G722" s="25"/>
      <c r="H722" s="16"/>
      <c r="I722" s="17"/>
    </row>
    <row r="723" spans="1:9" ht="18" customHeight="1">
      <c r="A723" s="16"/>
      <c r="B723" s="16"/>
      <c r="C723" s="16"/>
      <c r="D723" s="25"/>
      <c r="E723" s="25"/>
      <c r="F723" s="16"/>
      <c r="G723" s="25"/>
      <c r="H723" s="16"/>
      <c r="I723" s="17"/>
    </row>
    <row r="724" spans="1:9" ht="18" customHeight="1">
      <c r="A724" s="16"/>
      <c r="B724" s="16"/>
      <c r="C724" s="16"/>
      <c r="D724" s="25"/>
      <c r="E724" s="25"/>
      <c r="F724" s="16"/>
      <c r="G724" s="25"/>
      <c r="H724" s="16"/>
      <c r="I724" s="17"/>
    </row>
    <row r="725" spans="1:9" ht="18" customHeight="1">
      <c r="A725" s="16"/>
      <c r="B725" s="16"/>
      <c r="C725" s="16"/>
      <c r="D725" s="25"/>
      <c r="E725" s="25"/>
      <c r="F725" s="16"/>
      <c r="G725" s="25"/>
      <c r="H725" s="16"/>
      <c r="I725" s="17"/>
    </row>
    <row r="726" spans="1:9" ht="18" customHeight="1">
      <c r="A726" s="16"/>
      <c r="B726" s="16"/>
      <c r="C726" s="16"/>
      <c r="D726" s="25"/>
      <c r="E726" s="25"/>
      <c r="F726" s="16"/>
      <c r="G726" s="25"/>
      <c r="H726" s="16"/>
      <c r="I726" s="17"/>
    </row>
    <row r="727" spans="1:9" ht="18" customHeight="1">
      <c r="A727" s="16"/>
      <c r="B727" s="16"/>
      <c r="C727" s="16"/>
      <c r="D727" s="25"/>
      <c r="E727" s="25"/>
      <c r="F727" s="16"/>
      <c r="G727" s="25"/>
      <c r="H727" s="16"/>
      <c r="I727" s="17"/>
    </row>
    <row r="728" spans="1:9" ht="18" customHeight="1">
      <c r="A728" s="16"/>
      <c r="B728" s="16"/>
      <c r="C728" s="16"/>
      <c r="D728" s="25"/>
      <c r="E728" s="25"/>
      <c r="F728" s="16"/>
      <c r="G728" s="25"/>
      <c r="H728" s="16"/>
      <c r="I728" s="17"/>
    </row>
    <row r="729" spans="1:9" ht="18" customHeight="1">
      <c r="A729" s="16"/>
      <c r="B729" s="16"/>
      <c r="C729" s="16"/>
      <c r="D729" s="25"/>
      <c r="E729" s="25"/>
      <c r="F729" s="16"/>
      <c r="G729" s="25"/>
      <c r="H729" s="16"/>
      <c r="I729" s="17"/>
    </row>
    <row r="730" spans="1:9" ht="18" customHeight="1">
      <c r="A730" s="16"/>
      <c r="B730" s="16"/>
      <c r="C730" s="16"/>
      <c r="D730" s="25"/>
      <c r="E730" s="25"/>
      <c r="F730" s="16"/>
      <c r="G730" s="25"/>
      <c r="H730" s="16"/>
      <c r="I730" s="17"/>
    </row>
    <row r="731" spans="1:9" ht="18" customHeight="1">
      <c r="A731" s="16"/>
      <c r="B731" s="16"/>
      <c r="C731" s="16"/>
      <c r="D731" s="25"/>
      <c r="E731" s="25"/>
      <c r="F731" s="16"/>
      <c r="G731" s="25"/>
      <c r="H731" s="16"/>
      <c r="I731" s="17"/>
    </row>
    <row r="732" spans="1:9" ht="18" customHeight="1">
      <c r="A732" s="16"/>
      <c r="B732" s="16"/>
      <c r="C732" s="16"/>
      <c r="D732" s="25"/>
      <c r="E732" s="25"/>
      <c r="F732" s="16"/>
      <c r="G732" s="25"/>
      <c r="H732" s="16"/>
      <c r="I732" s="17"/>
    </row>
    <row r="733" spans="1:9" ht="18" customHeight="1">
      <c r="A733" s="16"/>
      <c r="B733" s="16"/>
      <c r="C733" s="16"/>
      <c r="D733" s="25"/>
      <c r="E733" s="25"/>
      <c r="F733" s="16"/>
      <c r="G733" s="25"/>
      <c r="H733" s="16"/>
      <c r="I733" s="17"/>
    </row>
    <row r="734" spans="1:9" ht="18" customHeight="1">
      <c r="A734" s="16"/>
      <c r="B734" s="16"/>
      <c r="C734" s="16"/>
      <c r="D734" s="25"/>
      <c r="E734" s="25"/>
      <c r="F734" s="16"/>
      <c r="G734" s="25"/>
      <c r="H734" s="16"/>
      <c r="I734" s="17"/>
    </row>
    <row r="735" spans="1:9" ht="18" customHeight="1">
      <c r="A735" s="16"/>
      <c r="B735" s="16"/>
      <c r="C735" s="16"/>
      <c r="D735" s="25"/>
      <c r="E735" s="25"/>
      <c r="F735" s="16"/>
      <c r="G735" s="25"/>
      <c r="H735" s="16"/>
      <c r="I735" s="17"/>
    </row>
    <row r="736" spans="1:9" ht="18" customHeight="1">
      <c r="A736" s="16"/>
      <c r="B736" s="16"/>
      <c r="C736" s="16"/>
      <c r="D736" s="25"/>
      <c r="E736" s="25"/>
      <c r="F736" s="16"/>
      <c r="G736" s="25"/>
      <c r="H736" s="16"/>
      <c r="I736" s="17"/>
    </row>
    <row r="737" spans="1:9" ht="18" customHeight="1">
      <c r="A737" s="16"/>
      <c r="B737" s="16"/>
      <c r="C737" s="16"/>
      <c r="D737" s="25"/>
      <c r="E737" s="25"/>
      <c r="F737" s="16"/>
      <c r="G737" s="25"/>
      <c r="H737" s="16"/>
      <c r="I737" s="17"/>
    </row>
    <row r="738" spans="1:9" ht="18" customHeight="1">
      <c r="A738" s="16"/>
      <c r="B738" s="16"/>
      <c r="C738" s="16"/>
      <c r="D738" s="25"/>
      <c r="E738" s="25"/>
      <c r="F738" s="16"/>
      <c r="G738" s="25"/>
      <c r="H738" s="16"/>
      <c r="I738" s="17"/>
    </row>
    <row r="739" spans="1:9" ht="18" customHeight="1">
      <c r="A739" s="16"/>
      <c r="B739" s="16"/>
      <c r="C739" s="16"/>
      <c r="D739" s="25"/>
      <c r="E739" s="25"/>
      <c r="F739" s="16"/>
      <c r="G739" s="25"/>
      <c r="H739" s="16"/>
      <c r="I739" s="17"/>
    </row>
    <row r="740" spans="1:9" ht="18" customHeight="1">
      <c r="A740" s="16"/>
      <c r="B740" s="16"/>
      <c r="C740" s="16"/>
      <c r="D740" s="25"/>
      <c r="E740" s="25"/>
      <c r="F740" s="16"/>
      <c r="G740" s="25"/>
      <c r="H740" s="16"/>
      <c r="I740" s="17"/>
    </row>
    <row r="741" spans="1:9" ht="18" customHeight="1">
      <c r="A741" s="16"/>
      <c r="B741" s="16"/>
      <c r="C741" s="16"/>
      <c r="D741" s="25"/>
      <c r="E741" s="25"/>
      <c r="F741" s="16"/>
      <c r="G741" s="25"/>
      <c r="H741" s="16"/>
      <c r="I741" s="17"/>
    </row>
    <row r="742" spans="1:9" ht="18" customHeight="1">
      <c r="A742" s="16"/>
      <c r="B742" s="16"/>
      <c r="C742" s="16"/>
      <c r="D742" s="25"/>
      <c r="E742" s="25"/>
      <c r="F742" s="16"/>
      <c r="G742" s="25"/>
      <c r="H742" s="16"/>
      <c r="I742" s="17"/>
    </row>
    <row r="743" spans="1:9" ht="18" customHeight="1">
      <c r="A743" s="16"/>
      <c r="B743" s="16"/>
      <c r="C743" s="16"/>
      <c r="D743" s="25"/>
      <c r="E743" s="25"/>
      <c r="F743" s="16"/>
      <c r="G743" s="25"/>
      <c r="H743" s="16"/>
      <c r="I743" s="17"/>
    </row>
    <row r="744" spans="1:9" ht="18" customHeight="1">
      <c r="A744" s="16"/>
      <c r="B744" s="16"/>
      <c r="C744" s="16"/>
      <c r="D744" s="25"/>
      <c r="E744" s="25"/>
      <c r="F744" s="16"/>
      <c r="G744" s="25"/>
      <c r="H744" s="16"/>
      <c r="I744" s="17"/>
    </row>
    <row r="745" spans="1:9" ht="18" customHeight="1">
      <c r="A745" s="16"/>
      <c r="B745" s="16"/>
      <c r="C745" s="16"/>
      <c r="D745" s="25"/>
      <c r="E745" s="25"/>
      <c r="F745" s="16"/>
      <c r="G745" s="25"/>
      <c r="H745" s="16"/>
      <c r="I745" s="17"/>
    </row>
    <row r="746" spans="1:9" ht="18" customHeight="1">
      <c r="A746" s="16"/>
      <c r="B746" s="16"/>
      <c r="C746" s="16"/>
      <c r="D746" s="25"/>
      <c r="E746" s="25"/>
      <c r="F746" s="16"/>
      <c r="G746" s="25"/>
      <c r="H746" s="16"/>
      <c r="I746" s="17"/>
    </row>
    <row r="747" spans="1:9" ht="18" customHeight="1">
      <c r="A747" s="16"/>
      <c r="B747" s="16"/>
      <c r="C747" s="16"/>
      <c r="D747" s="25"/>
      <c r="E747" s="25"/>
      <c r="F747" s="16"/>
      <c r="G747" s="25"/>
      <c r="H747" s="16"/>
      <c r="I747" s="17"/>
    </row>
    <row r="748" spans="1:9" ht="18" customHeight="1">
      <c r="A748" s="16"/>
      <c r="B748" s="16"/>
      <c r="C748" s="16"/>
      <c r="D748" s="25"/>
      <c r="E748" s="25"/>
      <c r="F748" s="16"/>
      <c r="G748" s="25"/>
      <c r="H748" s="16"/>
      <c r="I748" s="17"/>
    </row>
    <row r="749" spans="1:9" ht="18" customHeight="1">
      <c r="A749" s="16"/>
      <c r="B749" s="16"/>
      <c r="C749" s="16"/>
      <c r="D749" s="25"/>
      <c r="E749" s="25"/>
      <c r="F749" s="16"/>
      <c r="G749" s="25"/>
      <c r="H749" s="16"/>
      <c r="I749" s="17"/>
    </row>
    <row r="750" spans="1:9" ht="18" customHeight="1">
      <c r="A750" s="16"/>
      <c r="B750" s="16"/>
      <c r="C750" s="16"/>
      <c r="D750" s="25"/>
      <c r="E750" s="25"/>
      <c r="F750" s="16"/>
      <c r="G750" s="25"/>
      <c r="H750" s="16"/>
      <c r="I750" s="17"/>
    </row>
    <row r="751" spans="1:9" ht="18" customHeight="1">
      <c r="A751" s="16"/>
      <c r="B751" s="16"/>
      <c r="C751" s="16"/>
      <c r="D751" s="25"/>
      <c r="E751" s="25"/>
      <c r="F751" s="16"/>
      <c r="G751" s="25"/>
      <c r="H751" s="16"/>
      <c r="I751" s="17"/>
    </row>
    <row r="752" spans="1:9" ht="18" customHeight="1">
      <c r="A752" s="16"/>
      <c r="B752" s="16"/>
      <c r="C752" s="16"/>
      <c r="D752" s="25"/>
      <c r="E752" s="25"/>
      <c r="F752" s="16"/>
      <c r="G752" s="25"/>
      <c r="H752" s="16"/>
      <c r="I752" s="17"/>
    </row>
    <row r="753" spans="1:9" ht="18" customHeight="1">
      <c r="A753" s="16"/>
      <c r="B753" s="16"/>
      <c r="C753" s="16"/>
      <c r="D753" s="25"/>
      <c r="E753" s="25"/>
      <c r="F753" s="16"/>
      <c r="G753" s="25"/>
      <c r="H753" s="16"/>
      <c r="I753" s="17"/>
    </row>
    <row r="754" spans="1:9" ht="18" customHeight="1">
      <c r="A754" s="16"/>
      <c r="B754" s="16"/>
      <c r="C754" s="16"/>
      <c r="D754" s="25"/>
      <c r="E754" s="25"/>
      <c r="F754" s="16"/>
      <c r="G754" s="25"/>
      <c r="H754" s="16"/>
      <c r="I754" s="17"/>
    </row>
    <row r="755" spans="1:9" ht="18" customHeight="1">
      <c r="A755" s="16"/>
      <c r="B755" s="16"/>
      <c r="C755" s="16"/>
      <c r="D755" s="25"/>
      <c r="E755" s="25"/>
      <c r="F755" s="16"/>
      <c r="G755" s="25"/>
      <c r="H755" s="16"/>
      <c r="I755" s="17"/>
    </row>
    <row r="756" spans="1:9" ht="18" customHeight="1">
      <c r="A756" s="16"/>
      <c r="B756" s="16"/>
      <c r="C756" s="16"/>
      <c r="D756" s="25"/>
      <c r="E756" s="25"/>
      <c r="F756" s="16"/>
      <c r="G756" s="25"/>
      <c r="H756" s="16"/>
      <c r="I756" s="17"/>
    </row>
    <row r="757" spans="1:9" ht="18" customHeight="1">
      <c r="A757" s="16"/>
      <c r="B757" s="16"/>
      <c r="C757" s="16"/>
      <c r="D757" s="25"/>
      <c r="E757" s="25"/>
      <c r="F757" s="16"/>
      <c r="G757" s="25"/>
      <c r="H757" s="16"/>
      <c r="I757" s="17"/>
    </row>
    <row r="758" spans="1:9" ht="18" customHeight="1">
      <c r="A758" s="16"/>
      <c r="B758" s="16"/>
      <c r="C758" s="16"/>
      <c r="D758" s="25"/>
      <c r="E758" s="25"/>
      <c r="F758" s="16"/>
      <c r="G758" s="25"/>
      <c r="H758" s="16"/>
      <c r="I758" s="17"/>
    </row>
    <row r="759" spans="1:9" ht="18" customHeight="1">
      <c r="A759" s="16"/>
      <c r="B759" s="16"/>
      <c r="C759" s="16"/>
      <c r="D759" s="25"/>
      <c r="E759" s="25"/>
      <c r="F759" s="16"/>
      <c r="G759" s="25"/>
      <c r="H759" s="16"/>
      <c r="I759" s="17"/>
    </row>
    <row r="760" spans="1:9" ht="18" customHeight="1">
      <c r="A760" s="16"/>
      <c r="B760" s="16"/>
      <c r="C760" s="16"/>
      <c r="D760" s="25"/>
      <c r="E760" s="25"/>
      <c r="F760" s="16"/>
      <c r="G760" s="25"/>
      <c r="H760" s="16"/>
      <c r="I760" s="17"/>
    </row>
    <row r="761" spans="1:9" ht="18" customHeight="1">
      <c r="A761" s="16"/>
      <c r="B761" s="16"/>
      <c r="C761" s="16"/>
      <c r="D761" s="25"/>
      <c r="E761" s="25"/>
      <c r="F761" s="16"/>
      <c r="G761" s="25"/>
      <c r="H761" s="16"/>
      <c r="I761" s="17"/>
    </row>
    <row r="762" spans="1:9" ht="18" customHeight="1">
      <c r="A762" s="16"/>
      <c r="B762" s="16"/>
      <c r="C762" s="16"/>
      <c r="D762" s="25"/>
      <c r="E762" s="25"/>
      <c r="F762" s="16"/>
      <c r="G762" s="25"/>
      <c r="H762" s="16"/>
      <c r="I762" s="17"/>
    </row>
    <row r="763" spans="1:9" ht="18" customHeight="1">
      <c r="A763" s="16"/>
      <c r="B763" s="16"/>
      <c r="C763" s="16"/>
      <c r="D763" s="25"/>
      <c r="E763" s="25"/>
      <c r="F763" s="16"/>
      <c r="G763" s="25"/>
      <c r="H763" s="16"/>
      <c r="I763" s="17"/>
    </row>
    <row r="764" spans="1:9" ht="18" customHeight="1">
      <c r="A764" s="16"/>
      <c r="B764" s="16"/>
      <c r="C764" s="16"/>
      <c r="D764" s="25"/>
      <c r="E764" s="25"/>
      <c r="F764" s="16"/>
      <c r="G764" s="25"/>
      <c r="H764" s="16"/>
      <c r="I764" s="17"/>
    </row>
    <row r="765" spans="1:9" ht="18" customHeight="1">
      <c r="A765" s="16"/>
      <c r="B765" s="16"/>
      <c r="C765" s="16"/>
      <c r="D765" s="25"/>
      <c r="E765" s="25"/>
      <c r="F765" s="16"/>
      <c r="G765" s="25"/>
      <c r="H765" s="16"/>
      <c r="I765" s="17"/>
    </row>
    <row r="766" spans="1:9" ht="18" customHeight="1">
      <c r="A766" s="16"/>
      <c r="B766" s="16"/>
      <c r="C766" s="16"/>
      <c r="D766" s="25"/>
      <c r="E766" s="25"/>
      <c r="F766" s="16"/>
      <c r="G766" s="25"/>
      <c r="H766" s="16"/>
      <c r="I766" s="17"/>
    </row>
    <row r="767" spans="1:9" ht="18" customHeight="1">
      <c r="A767" s="16"/>
      <c r="B767" s="16"/>
      <c r="C767" s="16"/>
      <c r="D767" s="25"/>
      <c r="E767" s="25"/>
      <c r="F767" s="16"/>
      <c r="G767" s="25"/>
      <c r="H767" s="16"/>
      <c r="I767" s="17"/>
    </row>
    <row r="768" spans="1:9" ht="18" customHeight="1">
      <c r="A768" s="16"/>
      <c r="B768" s="16"/>
      <c r="C768" s="16"/>
      <c r="D768" s="25"/>
      <c r="E768" s="25"/>
      <c r="F768" s="16"/>
      <c r="G768" s="25"/>
      <c r="H768" s="16"/>
      <c r="I768" s="17"/>
    </row>
    <row r="769" spans="1:9" ht="18" customHeight="1">
      <c r="A769" s="16"/>
      <c r="B769" s="16"/>
      <c r="C769" s="16"/>
      <c r="D769" s="25"/>
      <c r="E769" s="25"/>
      <c r="F769" s="16"/>
      <c r="G769" s="25"/>
      <c r="H769" s="16"/>
      <c r="I769" s="17"/>
    </row>
    <row r="770" spans="1:9" ht="18" customHeight="1">
      <c r="A770" s="16"/>
      <c r="B770" s="16"/>
      <c r="C770" s="16"/>
      <c r="D770" s="25"/>
      <c r="E770" s="25"/>
      <c r="F770" s="16"/>
      <c r="G770" s="25"/>
      <c r="H770" s="16"/>
      <c r="I770" s="17"/>
    </row>
    <row r="771" spans="1:9" ht="18" customHeight="1">
      <c r="A771" s="16"/>
      <c r="B771" s="16"/>
      <c r="C771" s="16"/>
      <c r="D771" s="25"/>
      <c r="E771" s="25"/>
      <c r="F771" s="16"/>
      <c r="G771" s="25"/>
      <c r="H771" s="16"/>
      <c r="I771" s="17"/>
    </row>
    <row r="772" spans="1:9" ht="18" customHeight="1">
      <c r="A772" s="16"/>
      <c r="B772" s="16"/>
      <c r="C772" s="16"/>
      <c r="D772" s="25"/>
      <c r="E772" s="25"/>
      <c r="F772" s="16"/>
      <c r="G772" s="25"/>
      <c r="H772" s="16"/>
      <c r="I772" s="17"/>
    </row>
    <row r="773" spans="1:9" ht="18" customHeight="1">
      <c r="A773" s="16"/>
      <c r="B773" s="16"/>
      <c r="C773" s="16"/>
      <c r="D773" s="25"/>
      <c r="E773" s="25"/>
      <c r="F773" s="16"/>
      <c r="G773" s="25"/>
      <c r="H773" s="16"/>
      <c r="I773" s="17"/>
    </row>
    <row r="774" spans="1:9" ht="18" customHeight="1">
      <c r="A774" s="16"/>
      <c r="B774" s="16"/>
      <c r="C774" s="16"/>
      <c r="D774" s="25"/>
      <c r="E774" s="25"/>
      <c r="F774" s="16"/>
      <c r="G774" s="25"/>
      <c r="H774" s="16"/>
      <c r="I774" s="17"/>
    </row>
    <row r="775" spans="1:9" ht="18" customHeight="1">
      <c r="A775" s="16"/>
      <c r="B775" s="16"/>
      <c r="C775" s="16"/>
      <c r="D775" s="25"/>
      <c r="E775" s="25"/>
      <c r="F775" s="16"/>
      <c r="G775" s="25"/>
      <c r="H775" s="16"/>
      <c r="I775" s="17"/>
    </row>
    <row r="776" spans="1:9" ht="18" customHeight="1">
      <c r="A776" s="16"/>
      <c r="B776" s="16"/>
      <c r="C776" s="16"/>
      <c r="D776" s="25"/>
      <c r="E776" s="25"/>
      <c r="F776" s="16"/>
      <c r="G776" s="25"/>
      <c r="H776" s="16"/>
      <c r="I776" s="17"/>
    </row>
    <row r="777" spans="1:9" ht="18" customHeight="1">
      <c r="A777" s="16"/>
      <c r="B777" s="16"/>
      <c r="C777" s="16"/>
      <c r="D777" s="25"/>
      <c r="E777" s="25"/>
      <c r="F777" s="16"/>
      <c r="G777" s="25"/>
      <c r="H777" s="16"/>
      <c r="I777" s="17"/>
    </row>
    <row r="778" spans="1:9" ht="18" customHeight="1">
      <c r="A778" s="16"/>
      <c r="B778" s="16"/>
      <c r="C778" s="16"/>
      <c r="D778" s="25"/>
      <c r="E778" s="25"/>
      <c r="F778" s="16"/>
      <c r="G778" s="25"/>
      <c r="H778" s="16"/>
      <c r="I778" s="17"/>
    </row>
    <row r="779" spans="1:9" ht="18" customHeight="1">
      <c r="A779" s="16"/>
      <c r="B779" s="16"/>
      <c r="C779" s="16"/>
      <c r="D779" s="25"/>
      <c r="E779" s="25"/>
      <c r="F779" s="16"/>
      <c r="G779" s="25"/>
      <c r="H779" s="16"/>
      <c r="I779" s="17"/>
    </row>
    <row r="780" spans="1:9" ht="18" customHeight="1">
      <c r="A780" s="16"/>
      <c r="B780" s="16"/>
      <c r="C780" s="16"/>
      <c r="D780" s="25"/>
      <c r="E780" s="25"/>
      <c r="F780" s="16"/>
      <c r="G780" s="25"/>
      <c r="H780" s="16"/>
      <c r="I780" s="17"/>
    </row>
    <row r="781" spans="1:9" ht="18" customHeight="1">
      <c r="A781" s="16"/>
      <c r="B781" s="16"/>
      <c r="C781" s="16"/>
      <c r="D781" s="25"/>
      <c r="E781" s="25"/>
      <c r="F781" s="16"/>
      <c r="G781" s="25"/>
      <c r="H781" s="16"/>
      <c r="I781" s="17"/>
    </row>
    <row r="782" spans="1:9" ht="18" customHeight="1">
      <c r="A782" s="16"/>
      <c r="B782" s="16"/>
      <c r="C782" s="16"/>
      <c r="D782" s="25"/>
      <c r="E782" s="25"/>
      <c r="F782" s="16"/>
      <c r="G782" s="25"/>
      <c r="H782" s="16"/>
      <c r="I782" s="17"/>
    </row>
    <row r="783" spans="1:9" ht="18" customHeight="1">
      <c r="A783" s="16"/>
      <c r="B783" s="16"/>
      <c r="C783" s="16"/>
      <c r="D783" s="25"/>
      <c r="E783" s="25"/>
      <c r="F783" s="16"/>
      <c r="G783" s="25"/>
      <c r="H783" s="16"/>
      <c r="I783" s="17"/>
    </row>
    <row r="784" spans="1:9" ht="18" customHeight="1">
      <c r="A784" s="16"/>
      <c r="B784" s="16"/>
      <c r="C784" s="16"/>
      <c r="D784" s="25"/>
      <c r="E784" s="25"/>
      <c r="F784" s="16"/>
      <c r="G784" s="25"/>
      <c r="H784" s="16"/>
      <c r="I784" s="17"/>
    </row>
    <row r="785" spans="1:9" ht="18" customHeight="1">
      <c r="A785" s="16"/>
      <c r="B785" s="16"/>
      <c r="C785" s="16"/>
      <c r="D785" s="25"/>
      <c r="E785" s="25"/>
      <c r="F785" s="16"/>
      <c r="G785" s="25"/>
      <c r="H785" s="16"/>
      <c r="I785" s="17"/>
    </row>
    <row r="786" spans="1:9" ht="18" customHeight="1">
      <c r="A786" s="16"/>
      <c r="B786" s="16"/>
      <c r="C786" s="16"/>
      <c r="D786" s="25"/>
      <c r="E786" s="25"/>
      <c r="F786" s="16"/>
      <c r="G786" s="25"/>
      <c r="H786" s="16"/>
      <c r="I786" s="17"/>
    </row>
    <row r="787" spans="1:9" ht="18" customHeight="1">
      <c r="A787" s="16"/>
      <c r="B787" s="16"/>
      <c r="C787" s="16"/>
      <c r="D787" s="25"/>
      <c r="E787" s="25"/>
      <c r="F787" s="16"/>
      <c r="G787" s="25"/>
      <c r="H787" s="16"/>
      <c r="I787" s="17"/>
    </row>
    <row r="788" spans="1:9" ht="18" customHeight="1">
      <c r="A788" s="16"/>
      <c r="B788" s="16"/>
      <c r="C788" s="16"/>
      <c r="D788" s="25"/>
      <c r="E788" s="25"/>
      <c r="F788" s="16"/>
      <c r="G788" s="25"/>
      <c r="H788" s="16"/>
      <c r="I788" s="17"/>
    </row>
    <row r="789" spans="1:9" ht="18" customHeight="1">
      <c r="A789" s="16"/>
      <c r="B789" s="16"/>
      <c r="C789" s="16"/>
      <c r="D789" s="25"/>
      <c r="E789" s="25"/>
      <c r="F789" s="16"/>
      <c r="G789" s="25"/>
      <c r="H789" s="16"/>
      <c r="I789" s="17"/>
    </row>
    <row r="790" spans="1:9" ht="18" customHeight="1">
      <c r="A790" s="16"/>
      <c r="B790" s="16"/>
      <c r="C790" s="16"/>
      <c r="D790" s="25"/>
      <c r="E790" s="25"/>
      <c r="F790" s="16"/>
      <c r="G790" s="25"/>
      <c r="H790" s="16"/>
      <c r="I790" s="17"/>
    </row>
    <row r="791" spans="1:9" ht="18" customHeight="1">
      <c r="A791" s="16"/>
      <c r="B791" s="16"/>
      <c r="C791" s="16"/>
      <c r="D791" s="25"/>
      <c r="E791" s="25"/>
      <c r="F791" s="16"/>
      <c r="G791" s="25"/>
      <c r="H791" s="16"/>
      <c r="I791" s="17"/>
    </row>
    <row r="792" spans="1:9" ht="18" customHeight="1">
      <c r="A792" s="16"/>
      <c r="B792" s="16"/>
      <c r="C792" s="16"/>
      <c r="D792" s="25"/>
      <c r="E792" s="25"/>
      <c r="F792" s="16"/>
      <c r="G792" s="25"/>
      <c r="H792" s="16"/>
      <c r="I792" s="17"/>
    </row>
    <row r="793" spans="1:9" ht="18" customHeight="1">
      <c r="A793" s="16"/>
      <c r="B793" s="16"/>
      <c r="C793" s="16"/>
      <c r="D793" s="25"/>
      <c r="E793" s="25"/>
      <c r="F793" s="16"/>
      <c r="G793" s="25"/>
      <c r="H793" s="16"/>
      <c r="I793" s="17"/>
    </row>
    <row r="794" spans="1:9" ht="18" customHeight="1">
      <c r="A794" s="16"/>
      <c r="B794" s="16"/>
      <c r="C794" s="16"/>
      <c r="D794" s="25"/>
      <c r="E794" s="25"/>
      <c r="F794" s="16"/>
      <c r="G794" s="25"/>
      <c r="H794" s="16"/>
      <c r="I794" s="17"/>
    </row>
    <row r="795" spans="1:9" ht="18" customHeight="1">
      <c r="A795" s="16"/>
      <c r="B795" s="16"/>
      <c r="C795" s="16"/>
      <c r="D795" s="25"/>
      <c r="E795" s="25"/>
      <c r="F795" s="16"/>
      <c r="G795" s="25"/>
      <c r="H795" s="16"/>
      <c r="I795" s="17"/>
    </row>
    <row r="796" spans="1:9" ht="18" customHeight="1">
      <c r="A796" s="16"/>
      <c r="B796" s="16"/>
      <c r="C796" s="16"/>
      <c r="D796" s="25"/>
      <c r="E796" s="25"/>
      <c r="F796" s="16"/>
      <c r="G796" s="25"/>
      <c r="H796" s="16"/>
      <c r="I796" s="17"/>
    </row>
    <row r="797" spans="1:9" ht="18" customHeight="1">
      <c r="A797" s="16"/>
      <c r="B797" s="16"/>
      <c r="C797" s="16"/>
      <c r="D797" s="25"/>
      <c r="E797" s="25"/>
      <c r="F797" s="16"/>
      <c r="G797" s="25"/>
      <c r="H797" s="16"/>
      <c r="I797" s="17"/>
    </row>
    <row r="798" spans="1:9" ht="18" customHeight="1">
      <c r="A798" s="16"/>
      <c r="B798" s="16"/>
      <c r="C798" s="16"/>
      <c r="D798" s="25"/>
      <c r="E798" s="25"/>
      <c r="F798" s="16"/>
      <c r="G798" s="25"/>
      <c r="H798" s="16"/>
      <c r="I798" s="17"/>
    </row>
    <row r="799" spans="1:9" ht="18" customHeight="1">
      <c r="A799" s="16"/>
      <c r="B799" s="16"/>
      <c r="C799" s="16"/>
      <c r="D799" s="25"/>
      <c r="E799" s="25"/>
      <c r="F799" s="16"/>
      <c r="G799" s="25"/>
      <c r="H799" s="16"/>
      <c r="I799" s="17"/>
    </row>
    <row r="800" spans="1:9" ht="18" customHeight="1">
      <c r="A800" s="16"/>
      <c r="B800" s="16"/>
      <c r="C800" s="16"/>
      <c r="D800" s="25"/>
      <c r="E800" s="25"/>
      <c r="F800" s="16"/>
      <c r="G800" s="25"/>
      <c r="H800" s="16"/>
      <c r="I800" s="17"/>
    </row>
    <row r="801" spans="1:9" ht="18" customHeight="1">
      <c r="A801" s="16"/>
      <c r="B801" s="16"/>
      <c r="C801" s="16"/>
      <c r="D801" s="25"/>
      <c r="E801" s="25"/>
      <c r="F801" s="16"/>
      <c r="G801" s="25"/>
      <c r="H801" s="16"/>
      <c r="I801" s="17"/>
    </row>
    <row r="802" spans="1:9" ht="18" customHeight="1">
      <c r="A802" s="16"/>
      <c r="B802" s="16"/>
      <c r="C802" s="16"/>
      <c r="D802" s="25"/>
      <c r="E802" s="25"/>
      <c r="F802" s="16"/>
      <c r="G802" s="25"/>
      <c r="H802" s="16"/>
      <c r="I802" s="17"/>
    </row>
    <row r="803" spans="1:9" ht="18" customHeight="1">
      <c r="A803" s="16"/>
      <c r="B803" s="16"/>
      <c r="C803" s="16"/>
      <c r="D803" s="25"/>
      <c r="E803" s="25"/>
      <c r="F803" s="16"/>
      <c r="G803" s="25"/>
      <c r="H803" s="16"/>
      <c r="I803" s="17"/>
    </row>
    <row r="804" spans="1:9" ht="18" customHeight="1">
      <c r="A804" s="16"/>
      <c r="B804" s="16"/>
      <c r="C804" s="16"/>
      <c r="D804" s="25"/>
      <c r="E804" s="25"/>
      <c r="F804" s="16"/>
      <c r="G804" s="25"/>
      <c r="H804" s="16"/>
      <c r="I804" s="17"/>
    </row>
    <row r="805" spans="1:9" ht="18" customHeight="1">
      <c r="A805" s="16"/>
      <c r="B805" s="16"/>
      <c r="C805" s="16"/>
      <c r="D805" s="25"/>
      <c r="E805" s="25"/>
      <c r="F805" s="16"/>
      <c r="G805" s="25"/>
      <c r="H805" s="16"/>
      <c r="I805" s="17"/>
    </row>
    <row r="806" spans="1:9" ht="18" customHeight="1">
      <c r="A806" s="16"/>
      <c r="B806" s="16"/>
      <c r="C806" s="16"/>
      <c r="D806" s="25"/>
      <c r="E806" s="25"/>
      <c r="F806" s="16"/>
      <c r="G806" s="25"/>
      <c r="H806" s="16"/>
      <c r="I806" s="17"/>
    </row>
    <row r="807" spans="1:9" ht="18" customHeight="1">
      <c r="A807" s="16"/>
      <c r="B807" s="16"/>
      <c r="C807" s="16"/>
      <c r="D807" s="25"/>
      <c r="E807" s="25"/>
      <c r="F807" s="16"/>
      <c r="G807" s="25"/>
      <c r="H807" s="16"/>
      <c r="I807" s="17"/>
    </row>
    <row r="808" spans="1:9" ht="18" customHeight="1">
      <c r="A808" s="16"/>
      <c r="B808" s="16"/>
      <c r="C808" s="16"/>
      <c r="D808" s="25"/>
      <c r="E808" s="25"/>
      <c r="F808" s="16"/>
      <c r="G808" s="25"/>
      <c r="H808" s="16"/>
      <c r="I808" s="17"/>
    </row>
    <row r="809" spans="1:9" ht="18" customHeight="1">
      <c r="A809" s="16"/>
      <c r="B809" s="16"/>
      <c r="C809" s="16"/>
      <c r="D809" s="25"/>
      <c r="E809" s="25"/>
      <c r="F809" s="16"/>
      <c r="G809" s="25"/>
      <c r="H809" s="16"/>
      <c r="I809" s="17"/>
    </row>
    <row r="810" spans="1:9" ht="18" customHeight="1">
      <c r="A810" s="16"/>
      <c r="B810" s="16"/>
      <c r="C810" s="16"/>
      <c r="D810" s="25"/>
      <c r="E810" s="25"/>
      <c r="F810" s="16"/>
      <c r="G810" s="25"/>
      <c r="H810" s="16"/>
      <c r="I810" s="17"/>
    </row>
    <row r="811" spans="1:9" ht="18" customHeight="1">
      <c r="A811" s="16"/>
      <c r="B811" s="16"/>
      <c r="C811" s="16"/>
      <c r="D811" s="25"/>
      <c r="E811" s="25"/>
      <c r="F811" s="16"/>
      <c r="G811" s="25"/>
      <c r="H811" s="16"/>
      <c r="I811" s="17"/>
    </row>
    <row r="812" spans="1:9" ht="18" customHeight="1">
      <c r="A812" s="16"/>
      <c r="B812" s="16"/>
      <c r="C812" s="16"/>
      <c r="D812" s="25"/>
      <c r="E812" s="25"/>
      <c r="F812" s="16"/>
      <c r="G812" s="25"/>
      <c r="H812" s="16"/>
      <c r="I812" s="17"/>
    </row>
    <row r="813" spans="1:9" ht="18" customHeight="1">
      <c r="A813" s="16"/>
      <c r="B813" s="16"/>
      <c r="C813" s="16"/>
      <c r="D813" s="25"/>
      <c r="E813" s="25"/>
      <c r="F813" s="16"/>
      <c r="G813" s="25"/>
      <c r="H813" s="16"/>
      <c r="I813" s="17"/>
    </row>
    <row r="814" spans="1:9" ht="18" customHeight="1">
      <c r="A814" s="16"/>
      <c r="B814" s="16"/>
      <c r="C814" s="16"/>
      <c r="D814" s="25"/>
      <c r="E814" s="25"/>
      <c r="F814" s="16"/>
      <c r="G814" s="25"/>
      <c r="H814" s="16"/>
      <c r="I814" s="17"/>
    </row>
    <row r="815" spans="1:9" ht="18" customHeight="1">
      <c r="A815" s="16"/>
      <c r="B815" s="16"/>
      <c r="C815" s="16"/>
      <c r="D815" s="25"/>
      <c r="E815" s="25"/>
      <c r="F815" s="16"/>
      <c r="G815" s="25"/>
      <c r="H815" s="16"/>
      <c r="I815" s="17"/>
    </row>
    <row r="816" spans="1:9" ht="18" customHeight="1">
      <c r="A816" s="16"/>
      <c r="B816" s="16"/>
      <c r="C816" s="16"/>
      <c r="D816" s="25"/>
      <c r="E816" s="25"/>
      <c r="F816" s="16"/>
      <c r="G816" s="25"/>
      <c r="H816" s="16"/>
      <c r="I816" s="17"/>
    </row>
    <row r="817" spans="1:9" ht="18" customHeight="1">
      <c r="A817" s="16"/>
      <c r="B817" s="16"/>
      <c r="C817" s="16"/>
      <c r="D817" s="25"/>
      <c r="E817" s="25"/>
      <c r="F817" s="16"/>
      <c r="G817" s="25"/>
      <c r="H817" s="16"/>
      <c r="I817" s="17"/>
    </row>
    <row r="818" spans="1:9" ht="18" customHeight="1">
      <c r="A818" s="16"/>
      <c r="B818" s="16"/>
      <c r="C818" s="16"/>
      <c r="D818" s="25"/>
      <c r="E818" s="25"/>
      <c r="F818" s="16"/>
      <c r="G818" s="25"/>
      <c r="H818" s="16"/>
      <c r="I818" s="17"/>
    </row>
    <row r="819" spans="1:9" ht="18" customHeight="1">
      <c r="A819" s="16"/>
      <c r="B819" s="16"/>
      <c r="C819" s="16"/>
      <c r="D819" s="25"/>
      <c r="E819" s="25"/>
      <c r="F819" s="16"/>
      <c r="G819" s="25"/>
      <c r="H819" s="16"/>
      <c r="I819" s="17"/>
    </row>
    <row r="820" spans="1:9" ht="18" customHeight="1">
      <c r="A820" s="16"/>
      <c r="B820" s="16"/>
      <c r="C820" s="16"/>
      <c r="D820" s="25"/>
      <c r="E820" s="25"/>
      <c r="F820" s="16"/>
      <c r="G820" s="25"/>
      <c r="H820" s="16"/>
      <c r="I820" s="17"/>
    </row>
    <row r="821" spans="1:9" ht="18" customHeight="1">
      <c r="A821" s="16"/>
      <c r="B821" s="16"/>
      <c r="C821" s="16"/>
      <c r="D821" s="25"/>
      <c r="E821" s="25"/>
      <c r="F821" s="16"/>
      <c r="G821" s="25"/>
      <c r="H821" s="16"/>
      <c r="I821" s="17"/>
    </row>
    <row r="822" spans="1:9" ht="18" customHeight="1">
      <c r="A822" s="16"/>
      <c r="B822" s="16"/>
      <c r="C822" s="16"/>
      <c r="D822" s="25"/>
      <c r="E822" s="25"/>
      <c r="F822" s="16"/>
      <c r="G822" s="25"/>
      <c r="H822" s="16"/>
      <c r="I822" s="17"/>
    </row>
    <row r="823" spans="1:9" ht="18" customHeight="1">
      <c r="A823" s="16"/>
      <c r="B823" s="16"/>
      <c r="C823" s="16"/>
      <c r="D823" s="25"/>
      <c r="E823" s="25"/>
      <c r="F823" s="16"/>
      <c r="G823" s="25"/>
      <c r="H823" s="16"/>
      <c r="I823" s="17"/>
    </row>
    <row r="824" spans="1:9" ht="18" customHeight="1">
      <c r="A824" s="16"/>
      <c r="B824" s="16"/>
      <c r="C824" s="16"/>
      <c r="D824" s="25"/>
      <c r="E824" s="25"/>
      <c r="F824" s="16"/>
      <c r="G824" s="25"/>
      <c r="H824" s="16"/>
      <c r="I824" s="17"/>
    </row>
    <row r="825" spans="1:9" ht="18" customHeight="1">
      <c r="A825" s="16"/>
      <c r="B825" s="16"/>
      <c r="C825" s="16"/>
      <c r="D825" s="25"/>
      <c r="E825" s="25"/>
      <c r="F825" s="16"/>
      <c r="G825" s="25"/>
      <c r="H825" s="16"/>
      <c r="I825" s="17"/>
    </row>
    <row r="826" spans="1:9" ht="18" customHeight="1">
      <c r="A826" s="16"/>
      <c r="B826" s="16"/>
      <c r="C826" s="16"/>
      <c r="D826" s="25"/>
      <c r="E826" s="25"/>
      <c r="F826" s="16"/>
      <c r="G826" s="25"/>
      <c r="H826" s="16"/>
      <c r="I826" s="17"/>
    </row>
    <row r="827" spans="1:9" ht="18" customHeight="1">
      <c r="A827" s="16"/>
      <c r="B827" s="16"/>
      <c r="C827" s="16"/>
      <c r="D827" s="25"/>
      <c r="E827" s="25"/>
      <c r="F827" s="16"/>
      <c r="G827" s="25"/>
      <c r="H827" s="16"/>
      <c r="I827" s="17"/>
    </row>
    <row r="828" spans="1:9" ht="18" customHeight="1">
      <c r="A828" s="16"/>
      <c r="B828" s="16"/>
      <c r="C828" s="16"/>
      <c r="D828" s="25"/>
      <c r="E828" s="25"/>
      <c r="F828" s="16"/>
      <c r="G828" s="25"/>
      <c r="H828" s="16"/>
      <c r="I828" s="17"/>
    </row>
    <row r="829" spans="1:9" ht="18" customHeight="1">
      <c r="A829" s="16"/>
      <c r="B829" s="16"/>
      <c r="C829" s="16"/>
      <c r="D829" s="25"/>
      <c r="E829" s="25"/>
      <c r="F829" s="16"/>
      <c r="G829" s="25"/>
      <c r="H829" s="16"/>
      <c r="I829" s="17"/>
    </row>
    <row r="830" spans="1:9" ht="18" customHeight="1">
      <c r="A830" s="16"/>
      <c r="B830" s="16"/>
      <c r="C830" s="16"/>
      <c r="D830" s="25"/>
      <c r="E830" s="25"/>
      <c r="F830" s="16"/>
      <c r="G830" s="25"/>
      <c r="H830" s="16"/>
      <c r="I830" s="17"/>
    </row>
    <row r="831" spans="1:9" ht="18" customHeight="1">
      <c r="A831" s="16"/>
      <c r="B831" s="16"/>
      <c r="C831" s="16"/>
      <c r="D831" s="25"/>
      <c r="E831" s="25"/>
      <c r="F831" s="16"/>
      <c r="G831" s="25"/>
      <c r="H831" s="16"/>
      <c r="I831" s="17"/>
    </row>
    <row r="832" spans="1:9" ht="18" customHeight="1">
      <c r="A832" s="16"/>
      <c r="B832" s="16"/>
      <c r="C832" s="16"/>
      <c r="D832" s="25"/>
      <c r="E832" s="25"/>
      <c r="F832" s="16"/>
      <c r="G832" s="25"/>
      <c r="H832" s="16"/>
      <c r="I832" s="17"/>
    </row>
    <row r="833" spans="1:9" ht="18" customHeight="1">
      <c r="A833" s="16"/>
      <c r="B833" s="16"/>
      <c r="C833" s="16"/>
      <c r="D833" s="25"/>
      <c r="E833" s="25"/>
      <c r="F833" s="16"/>
      <c r="G833" s="25"/>
      <c r="H833" s="16"/>
      <c r="I833" s="17"/>
    </row>
    <row r="834" spans="1:9" ht="18" customHeight="1">
      <c r="A834" s="16"/>
      <c r="B834" s="16"/>
      <c r="C834" s="16"/>
      <c r="D834" s="25"/>
      <c r="E834" s="25"/>
      <c r="F834" s="16"/>
      <c r="G834" s="25"/>
      <c r="H834" s="16"/>
      <c r="I834" s="17"/>
    </row>
    <row r="835" spans="1:9" ht="18" customHeight="1">
      <c r="A835" s="16"/>
      <c r="B835" s="16"/>
      <c r="C835" s="16"/>
      <c r="D835" s="25"/>
      <c r="E835" s="25"/>
      <c r="F835" s="16"/>
      <c r="G835" s="25"/>
      <c r="H835" s="16"/>
      <c r="I835" s="17"/>
    </row>
    <row r="836" spans="1:9" ht="18" customHeight="1">
      <c r="A836" s="16"/>
      <c r="B836" s="16"/>
      <c r="C836" s="16"/>
      <c r="D836" s="25"/>
      <c r="E836" s="25"/>
      <c r="F836" s="16"/>
      <c r="G836" s="25"/>
      <c r="H836" s="16"/>
      <c r="I836" s="17"/>
    </row>
    <row r="837" spans="1:9" ht="18" customHeight="1">
      <c r="A837" s="16"/>
      <c r="B837" s="16"/>
      <c r="C837" s="16"/>
      <c r="D837" s="25"/>
      <c r="E837" s="25"/>
      <c r="F837" s="16"/>
      <c r="G837" s="25"/>
      <c r="H837" s="16"/>
      <c r="I837" s="17"/>
    </row>
    <row r="838" spans="1:9" ht="18" customHeight="1">
      <c r="A838" s="16"/>
      <c r="B838" s="16"/>
      <c r="C838" s="16"/>
      <c r="D838" s="25"/>
      <c r="E838" s="25"/>
      <c r="F838" s="16"/>
      <c r="G838" s="25"/>
      <c r="H838" s="16"/>
      <c r="I838" s="17"/>
    </row>
    <row r="839" spans="1:9" ht="18" customHeight="1">
      <c r="A839" s="16"/>
      <c r="B839" s="16"/>
      <c r="C839" s="16"/>
      <c r="D839" s="25"/>
      <c r="E839" s="25"/>
      <c r="F839" s="16"/>
      <c r="G839" s="25"/>
      <c r="H839" s="16"/>
      <c r="I839" s="17"/>
    </row>
    <row r="840" spans="1:9" ht="18" customHeight="1">
      <c r="A840" s="16"/>
      <c r="B840" s="16"/>
      <c r="C840" s="16"/>
      <c r="D840" s="25"/>
      <c r="E840" s="25"/>
      <c r="F840" s="16"/>
      <c r="G840" s="25"/>
      <c r="H840" s="16"/>
      <c r="I840" s="17"/>
    </row>
    <row r="841" spans="1:9" ht="18" customHeight="1">
      <c r="A841" s="16"/>
      <c r="B841" s="16"/>
      <c r="C841" s="16"/>
      <c r="D841" s="25"/>
      <c r="E841" s="25"/>
      <c r="F841" s="16"/>
      <c r="G841" s="25"/>
      <c r="H841" s="16"/>
      <c r="I841" s="17"/>
    </row>
    <row r="842" spans="1:9" ht="18" customHeight="1">
      <c r="A842" s="16"/>
      <c r="B842" s="16"/>
      <c r="C842" s="16"/>
      <c r="D842" s="25"/>
      <c r="E842" s="25"/>
      <c r="F842" s="16"/>
      <c r="G842" s="25"/>
      <c r="H842" s="16"/>
      <c r="I842" s="17"/>
    </row>
    <row r="843" spans="1:9" ht="18" customHeight="1">
      <c r="A843" s="16"/>
      <c r="B843" s="16"/>
      <c r="C843" s="16"/>
      <c r="D843" s="25"/>
      <c r="E843" s="25"/>
      <c r="F843" s="16"/>
      <c r="G843" s="25"/>
      <c r="H843" s="16"/>
      <c r="I843" s="17"/>
    </row>
    <row r="844" spans="1:9" ht="18" customHeight="1">
      <c r="A844" s="16"/>
      <c r="B844" s="16"/>
      <c r="C844" s="16"/>
      <c r="D844" s="25"/>
      <c r="E844" s="25"/>
      <c r="F844" s="16"/>
      <c r="G844" s="25"/>
      <c r="H844" s="16"/>
      <c r="I844" s="17"/>
    </row>
    <row r="845" spans="1:9" ht="18" customHeight="1">
      <c r="A845" s="16"/>
      <c r="B845" s="16"/>
      <c r="C845" s="16"/>
      <c r="D845" s="25"/>
      <c r="E845" s="25"/>
      <c r="F845" s="16"/>
      <c r="G845" s="25"/>
      <c r="H845" s="16"/>
      <c r="I845" s="17"/>
    </row>
    <row r="846" spans="1:9" ht="18" customHeight="1">
      <c r="A846" s="16"/>
      <c r="B846" s="16"/>
      <c r="C846" s="16"/>
      <c r="D846" s="25"/>
      <c r="E846" s="25"/>
      <c r="F846" s="16"/>
      <c r="G846" s="25"/>
      <c r="H846" s="16"/>
      <c r="I846" s="17"/>
    </row>
    <row r="847" spans="1:9" ht="18" customHeight="1">
      <c r="A847" s="16"/>
      <c r="B847" s="16"/>
      <c r="C847" s="16"/>
      <c r="D847" s="25"/>
      <c r="E847" s="25"/>
      <c r="F847" s="16"/>
      <c r="G847" s="25"/>
      <c r="H847" s="16"/>
      <c r="I847" s="17"/>
    </row>
    <row r="848" spans="1:9" ht="18" customHeight="1">
      <c r="A848" s="16"/>
      <c r="B848" s="16"/>
      <c r="C848" s="16"/>
      <c r="D848" s="25"/>
      <c r="E848" s="25"/>
      <c r="F848" s="16"/>
      <c r="G848" s="25"/>
      <c r="H848" s="16"/>
      <c r="I848" s="17"/>
    </row>
    <row r="849" spans="1:9" ht="18" customHeight="1">
      <c r="A849" s="16"/>
      <c r="B849" s="16"/>
      <c r="C849" s="16"/>
      <c r="D849" s="25"/>
      <c r="E849" s="25"/>
      <c r="F849" s="16"/>
      <c r="G849" s="25"/>
      <c r="H849" s="16"/>
      <c r="I849" s="17"/>
    </row>
    <row r="850" spans="1:9" ht="18" customHeight="1">
      <c r="A850" s="16"/>
      <c r="B850" s="16"/>
      <c r="C850" s="16"/>
      <c r="D850" s="25"/>
      <c r="E850" s="25"/>
      <c r="F850" s="16"/>
      <c r="G850" s="25"/>
      <c r="H850" s="16"/>
      <c r="I850" s="17"/>
    </row>
    <row r="851" spans="1:9" ht="18" customHeight="1">
      <c r="A851" s="16"/>
      <c r="B851" s="16"/>
      <c r="C851" s="16"/>
      <c r="D851" s="25"/>
      <c r="E851" s="25"/>
      <c r="F851" s="16"/>
      <c r="G851" s="25"/>
      <c r="H851" s="16"/>
      <c r="I851" s="17"/>
    </row>
    <row r="852" spans="1:9" ht="18" customHeight="1">
      <c r="A852" s="16"/>
      <c r="B852" s="16"/>
      <c r="C852" s="16"/>
      <c r="D852" s="25"/>
      <c r="E852" s="25"/>
      <c r="F852" s="16"/>
      <c r="G852" s="25"/>
      <c r="H852" s="16"/>
      <c r="I852" s="17"/>
    </row>
    <row r="853" spans="1:9" ht="18" customHeight="1">
      <c r="A853" s="16"/>
      <c r="B853" s="16"/>
      <c r="C853" s="16"/>
      <c r="D853" s="25"/>
      <c r="E853" s="25"/>
      <c r="F853" s="16"/>
      <c r="G853" s="25"/>
      <c r="H853" s="16"/>
      <c r="I853" s="17"/>
    </row>
    <row r="854" spans="1:9" ht="18" customHeight="1">
      <c r="A854" s="16"/>
      <c r="B854" s="16"/>
      <c r="C854" s="16"/>
      <c r="D854" s="25"/>
      <c r="E854" s="25"/>
      <c r="F854" s="16"/>
      <c r="G854" s="25"/>
      <c r="H854" s="16"/>
      <c r="I854" s="17"/>
    </row>
    <row r="855" spans="1:9" ht="18" customHeight="1">
      <c r="A855" s="16"/>
      <c r="B855" s="16"/>
      <c r="C855" s="16"/>
      <c r="D855" s="25"/>
      <c r="E855" s="25"/>
      <c r="F855" s="16"/>
      <c r="G855" s="25"/>
      <c r="H855" s="16"/>
      <c r="I855" s="17"/>
    </row>
    <row r="856" spans="1:9" ht="18" customHeight="1">
      <c r="A856" s="16"/>
      <c r="B856" s="16"/>
      <c r="C856" s="16"/>
      <c r="D856" s="25"/>
      <c r="E856" s="25"/>
      <c r="F856" s="16"/>
      <c r="G856" s="25"/>
      <c r="H856" s="16"/>
      <c r="I856" s="17"/>
    </row>
    <row r="857" spans="1:9" ht="18" customHeight="1">
      <c r="A857" s="16"/>
      <c r="B857" s="16"/>
      <c r="C857" s="16"/>
      <c r="D857" s="25"/>
      <c r="E857" s="25"/>
      <c r="F857" s="16"/>
      <c r="G857" s="25"/>
      <c r="H857" s="16"/>
      <c r="I857" s="17"/>
    </row>
    <row r="858" spans="1:9" ht="18" customHeight="1">
      <c r="A858" s="16"/>
      <c r="B858" s="16"/>
      <c r="C858" s="16"/>
      <c r="D858" s="25"/>
      <c r="E858" s="25"/>
      <c r="F858" s="16"/>
      <c r="G858" s="25"/>
      <c r="H858" s="16"/>
      <c r="I858" s="17"/>
    </row>
    <row r="859" spans="1:9" ht="18" customHeight="1">
      <c r="A859" s="16"/>
      <c r="B859" s="16"/>
      <c r="C859" s="16"/>
      <c r="D859" s="25"/>
      <c r="E859" s="25"/>
      <c r="F859" s="16"/>
      <c r="G859" s="25"/>
      <c r="H859" s="16"/>
      <c r="I859" s="17"/>
    </row>
    <row r="860" spans="1:9" ht="18" customHeight="1">
      <c r="A860" s="16"/>
      <c r="B860" s="16"/>
      <c r="C860" s="16"/>
      <c r="D860" s="25"/>
      <c r="E860" s="25"/>
      <c r="F860" s="16"/>
      <c r="G860" s="25"/>
      <c r="H860" s="16"/>
      <c r="I860" s="17"/>
    </row>
    <row r="861" spans="1:9" ht="18" customHeight="1">
      <c r="A861" s="16"/>
      <c r="B861" s="16"/>
      <c r="C861" s="16"/>
      <c r="D861" s="25"/>
      <c r="E861" s="25"/>
      <c r="F861" s="16"/>
      <c r="G861" s="25"/>
      <c r="H861" s="16"/>
      <c r="I861" s="17"/>
    </row>
    <row r="862" spans="1:9" ht="18" customHeight="1">
      <c r="A862" s="16"/>
      <c r="B862" s="16"/>
      <c r="C862" s="16"/>
      <c r="D862" s="25"/>
      <c r="E862" s="25"/>
      <c r="F862" s="16"/>
      <c r="G862" s="25"/>
      <c r="H862" s="16"/>
      <c r="I862" s="17"/>
    </row>
    <row r="863" spans="1:9" ht="18" customHeight="1">
      <c r="A863" s="16"/>
      <c r="B863" s="16"/>
      <c r="C863" s="16"/>
      <c r="D863" s="25"/>
      <c r="E863" s="25"/>
      <c r="F863" s="16"/>
      <c r="G863" s="25"/>
      <c r="H863" s="16"/>
      <c r="I863" s="17"/>
    </row>
    <row r="864" spans="1:9" ht="18" customHeight="1">
      <c r="A864" s="16"/>
      <c r="B864" s="16"/>
      <c r="C864" s="16"/>
      <c r="D864" s="25"/>
      <c r="E864" s="25"/>
      <c r="F864" s="16"/>
      <c r="G864" s="25"/>
      <c r="H864" s="16"/>
      <c r="I864" s="17"/>
    </row>
    <row r="865" spans="1:9" ht="18" customHeight="1">
      <c r="A865" s="16"/>
      <c r="B865" s="16"/>
      <c r="C865" s="16"/>
      <c r="D865" s="25"/>
      <c r="E865" s="25"/>
      <c r="F865" s="16"/>
      <c r="G865" s="25"/>
      <c r="H865" s="16"/>
      <c r="I865" s="17"/>
    </row>
    <row r="866" spans="1:9" ht="18" customHeight="1">
      <c r="A866" s="16"/>
      <c r="B866" s="16"/>
      <c r="C866" s="16"/>
      <c r="D866" s="25"/>
      <c r="E866" s="25"/>
      <c r="F866" s="16"/>
      <c r="G866" s="25"/>
      <c r="H866" s="16"/>
      <c r="I866" s="17"/>
    </row>
    <row r="867" spans="1:9" ht="18" customHeight="1">
      <c r="A867" s="16"/>
      <c r="B867" s="16"/>
      <c r="C867" s="16"/>
      <c r="D867" s="25"/>
      <c r="E867" s="25"/>
      <c r="F867" s="16"/>
      <c r="G867" s="25"/>
      <c r="H867" s="16"/>
      <c r="I867" s="17"/>
    </row>
    <row r="868" spans="1:9" ht="18" customHeight="1">
      <c r="A868" s="16"/>
      <c r="B868" s="16"/>
      <c r="C868" s="16"/>
      <c r="D868" s="25"/>
      <c r="E868" s="25"/>
      <c r="F868" s="16"/>
      <c r="G868" s="25"/>
      <c r="H868" s="16"/>
      <c r="I868" s="17"/>
    </row>
    <row r="869" spans="1:9" ht="18" customHeight="1">
      <c r="A869" s="16"/>
      <c r="B869" s="16"/>
      <c r="C869" s="16"/>
      <c r="D869" s="25"/>
      <c r="E869" s="25"/>
      <c r="F869" s="16"/>
      <c r="G869" s="25"/>
      <c r="H869" s="16"/>
      <c r="I869" s="17"/>
    </row>
    <row r="870" spans="1:9" ht="18" customHeight="1">
      <c r="A870" s="16"/>
      <c r="B870" s="16"/>
      <c r="C870" s="16"/>
      <c r="D870" s="25"/>
      <c r="E870" s="25"/>
      <c r="F870" s="16"/>
      <c r="G870" s="25"/>
      <c r="H870" s="16"/>
      <c r="I870" s="17"/>
    </row>
    <row r="871" spans="1:9" ht="18" customHeight="1">
      <c r="A871" s="16"/>
      <c r="B871" s="16"/>
      <c r="C871" s="16"/>
      <c r="D871" s="25"/>
      <c r="E871" s="25"/>
      <c r="F871" s="16"/>
      <c r="G871" s="25"/>
      <c r="H871" s="16"/>
      <c r="I871" s="17"/>
    </row>
    <row r="872" spans="1:9" ht="18" customHeight="1">
      <c r="A872" s="16"/>
      <c r="B872" s="16"/>
      <c r="C872" s="16"/>
      <c r="D872" s="25"/>
      <c r="E872" s="25"/>
      <c r="F872" s="16"/>
      <c r="G872" s="25"/>
      <c r="H872" s="16"/>
      <c r="I872" s="17"/>
    </row>
    <row r="873" spans="1:9" ht="18" customHeight="1">
      <c r="A873" s="16"/>
      <c r="B873" s="16"/>
      <c r="C873" s="16"/>
      <c r="D873" s="25"/>
      <c r="E873" s="25"/>
      <c r="F873" s="16"/>
      <c r="G873" s="25"/>
      <c r="H873" s="16"/>
      <c r="I873" s="17"/>
    </row>
    <row r="874" spans="1:9" ht="18" customHeight="1">
      <c r="A874" s="16"/>
      <c r="B874" s="16"/>
      <c r="C874" s="16"/>
      <c r="D874" s="25"/>
      <c r="E874" s="25"/>
      <c r="F874" s="16"/>
      <c r="G874" s="25"/>
      <c r="H874" s="16"/>
      <c r="I874" s="17"/>
    </row>
    <row r="875" spans="1:9" ht="18" customHeight="1">
      <c r="A875" s="16"/>
      <c r="B875" s="16"/>
      <c r="C875" s="16"/>
      <c r="D875" s="25"/>
      <c r="E875" s="25"/>
      <c r="F875" s="16"/>
      <c r="G875" s="25"/>
      <c r="H875" s="16"/>
      <c r="I875" s="17"/>
    </row>
    <row r="876" spans="1:9" ht="18" customHeight="1">
      <c r="A876" s="16"/>
      <c r="B876" s="16"/>
      <c r="C876" s="16"/>
      <c r="D876" s="25"/>
      <c r="E876" s="25"/>
      <c r="F876" s="16"/>
      <c r="G876" s="25"/>
      <c r="H876" s="16"/>
      <c r="I876" s="17"/>
    </row>
    <row r="877" spans="1:9" ht="18" customHeight="1">
      <c r="A877" s="16"/>
      <c r="B877" s="16"/>
      <c r="C877" s="16"/>
      <c r="D877" s="25"/>
      <c r="E877" s="25"/>
      <c r="F877" s="16"/>
      <c r="G877" s="25"/>
      <c r="H877" s="16"/>
      <c r="I877" s="17"/>
    </row>
    <row r="878" spans="1:9" ht="18" customHeight="1">
      <c r="A878" s="16"/>
      <c r="B878" s="16"/>
      <c r="C878" s="16"/>
      <c r="D878" s="25"/>
      <c r="E878" s="25"/>
      <c r="F878" s="16"/>
      <c r="G878" s="25"/>
      <c r="H878" s="16"/>
      <c r="I878" s="17"/>
    </row>
    <row r="879" spans="1:9" ht="18" customHeight="1">
      <c r="A879" s="16"/>
      <c r="B879" s="16"/>
      <c r="C879" s="16"/>
      <c r="D879" s="25"/>
      <c r="E879" s="25"/>
      <c r="F879" s="16"/>
      <c r="G879" s="25"/>
      <c r="H879" s="16"/>
      <c r="I879" s="17"/>
    </row>
    <row r="880" spans="1:9" ht="18" customHeight="1">
      <c r="A880" s="16"/>
      <c r="B880" s="16"/>
      <c r="C880" s="16"/>
      <c r="D880" s="25"/>
      <c r="E880" s="25"/>
      <c r="F880" s="16"/>
      <c r="G880" s="25"/>
      <c r="H880" s="16"/>
      <c r="I880" s="17"/>
    </row>
    <row r="881" spans="1:9" ht="18" customHeight="1">
      <c r="A881" s="16"/>
      <c r="B881" s="16"/>
      <c r="C881" s="16"/>
      <c r="D881" s="25"/>
      <c r="E881" s="25"/>
      <c r="F881" s="16"/>
      <c r="G881" s="25"/>
      <c r="H881" s="16"/>
      <c r="I881" s="17"/>
    </row>
    <row r="882" spans="1:9" ht="18" customHeight="1">
      <c r="A882" s="16"/>
      <c r="B882" s="16"/>
      <c r="C882" s="16"/>
      <c r="D882" s="25"/>
      <c r="E882" s="25"/>
      <c r="F882" s="16"/>
      <c r="G882" s="25"/>
      <c r="H882" s="16"/>
      <c r="I882" s="17"/>
    </row>
    <row r="883" spans="1:9" ht="18" customHeight="1">
      <c r="A883" s="16"/>
      <c r="B883" s="16"/>
      <c r="C883" s="16"/>
      <c r="D883" s="25"/>
      <c r="E883" s="25"/>
      <c r="F883" s="16"/>
      <c r="G883" s="25"/>
      <c r="H883" s="16"/>
      <c r="I883" s="17"/>
    </row>
    <row r="884" spans="1:9" ht="18" customHeight="1">
      <c r="A884" s="16"/>
      <c r="B884" s="16"/>
      <c r="C884" s="16"/>
      <c r="D884" s="25"/>
      <c r="E884" s="25"/>
      <c r="F884" s="16"/>
      <c r="G884" s="25"/>
      <c r="H884" s="16"/>
      <c r="I884" s="17"/>
    </row>
    <row r="885" spans="1:9" ht="18" customHeight="1">
      <c r="A885" s="16"/>
      <c r="B885" s="16"/>
      <c r="C885" s="16"/>
      <c r="D885" s="25"/>
      <c r="E885" s="25"/>
      <c r="F885" s="16"/>
      <c r="G885" s="25"/>
      <c r="H885" s="16"/>
      <c r="I885" s="17"/>
    </row>
    <row r="886" spans="1:9" ht="18" customHeight="1">
      <c r="A886" s="16"/>
      <c r="B886" s="16"/>
      <c r="C886" s="16"/>
      <c r="D886" s="25"/>
      <c r="E886" s="25"/>
      <c r="F886" s="16"/>
      <c r="G886" s="25"/>
      <c r="H886" s="16"/>
      <c r="I886" s="17"/>
    </row>
    <row r="887" spans="1:9" ht="18" customHeight="1">
      <c r="A887" s="16"/>
      <c r="B887" s="16"/>
      <c r="C887" s="16"/>
      <c r="D887" s="25"/>
      <c r="E887" s="25"/>
      <c r="F887" s="16"/>
      <c r="G887" s="25"/>
      <c r="H887" s="16"/>
      <c r="I887" s="17"/>
    </row>
    <row r="888" spans="1:9" ht="18" customHeight="1">
      <c r="A888" s="16"/>
      <c r="B888" s="16"/>
      <c r="C888" s="16"/>
      <c r="D888" s="25"/>
      <c r="E888" s="25"/>
      <c r="F888" s="16"/>
      <c r="G888" s="25"/>
      <c r="H888" s="16"/>
      <c r="I888" s="17"/>
    </row>
    <row r="889" spans="1:9" ht="18" customHeight="1">
      <c r="A889" s="16"/>
      <c r="B889" s="16"/>
      <c r="C889" s="16"/>
      <c r="D889" s="25"/>
      <c r="E889" s="25"/>
      <c r="F889" s="16"/>
      <c r="G889" s="25"/>
      <c r="H889" s="16"/>
      <c r="I889" s="17"/>
    </row>
    <row r="890" spans="1:9" ht="18" customHeight="1">
      <c r="A890" s="16"/>
      <c r="B890" s="16"/>
      <c r="C890" s="16"/>
      <c r="D890" s="25"/>
      <c r="E890" s="25"/>
      <c r="F890" s="16"/>
      <c r="G890" s="25"/>
      <c r="H890" s="16"/>
      <c r="I890" s="17"/>
    </row>
    <row r="891" spans="1:9" ht="18" customHeight="1">
      <c r="A891" s="16"/>
      <c r="B891" s="16"/>
      <c r="C891" s="16"/>
      <c r="D891" s="25"/>
      <c r="E891" s="25"/>
      <c r="F891" s="16"/>
      <c r="G891" s="25"/>
      <c r="H891" s="16"/>
      <c r="I891" s="17"/>
    </row>
    <row r="892" spans="1:9" ht="18" customHeight="1">
      <c r="A892" s="16"/>
      <c r="B892" s="16"/>
      <c r="C892" s="16"/>
      <c r="D892" s="25"/>
      <c r="E892" s="25"/>
      <c r="F892" s="16"/>
      <c r="G892" s="25"/>
      <c r="H892" s="16"/>
      <c r="I892" s="17"/>
    </row>
    <row r="893" spans="1:9" ht="18" customHeight="1">
      <c r="A893" s="16"/>
      <c r="B893" s="16"/>
      <c r="C893" s="16"/>
      <c r="D893" s="25"/>
      <c r="E893" s="25"/>
      <c r="F893" s="16"/>
      <c r="G893" s="25"/>
      <c r="H893" s="16"/>
      <c r="I893" s="17"/>
    </row>
    <row r="894" spans="1:9" ht="18" customHeight="1">
      <c r="A894" s="16"/>
      <c r="B894" s="16"/>
      <c r="C894" s="16"/>
      <c r="D894" s="25"/>
      <c r="E894" s="25"/>
      <c r="F894" s="16"/>
      <c r="G894" s="25"/>
      <c r="H894" s="16"/>
      <c r="I894" s="17"/>
    </row>
    <row r="895" spans="1:9" ht="18" customHeight="1">
      <c r="A895" s="16"/>
      <c r="B895" s="16"/>
      <c r="C895" s="16"/>
      <c r="D895" s="25"/>
      <c r="E895" s="25"/>
      <c r="F895" s="16"/>
      <c r="G895" s="25"/>
      <c r="H895" s="16"/>
      <c r="I895" s="17"/>
    </row>
    <row r="896" spans="1:9" ht="18" customHeight="1">
      <c r="A896" s="16"/>
      <c r="B896" s="16"/>
      <c r="C896" s="16"/>
      <c r="D896" s="25"/>
      <c r="E896" s="25"/>
      <c r="F896" s="16"/>
      <c r="G896" s="25"/>
      <c r="H896" s="16"/>
      <c r="I896" s="17"/>
    </row>
    <row r="897" spans="1:9" ht="18" customHeight="1">
      <c r="A897" s="16"/>
      <c r="B897" s="16"/>
      <c r="C897" s="16"/>
      <c r="D897" s="25"/>
      <c r="E897" s="25"/>
      <c r="F897" s="16"/>
      <c r="G897" s="25"/>
      <c r="H897" s="16"/>
      <c r="I897" s="17"/>
    </row>
    <row r="898" spans="1:9" ht="18" customHeight="1">
      <c r="A898" s="16"/>
      <c r="B898" s="16"/>
      <c r="C898" s="16"/>
      <c r="D898" s="25"/>
      <c r="E898" s="25"/>
      <c r="F898" s="16"/>
      <c r="G898" s="25"/>
      <c r="H898" s="16"/>
      <c r="I898" s="17"/>
    </row>
    <row r="899" spans="1:9" ht="18" customHeight="1">
      <c r="A899" s="16"/>
      <c r="B899" s="16"/>
      <c r="C899" s="16"/>
      <c r="D899" s="25"/>
      <c r="E899" s="25"/>
      <c r="F899" s="16"/>
      <c r="G899" s="25"/>
      <c r="H899" s="16"/>
      <c r="I899" s="17"/>
    </row>
    <row r="900" spans="1:9" ht="18" customHeight="1">
      <c r="A900" s="16"/>
      <c r="B900" s="16"/>
      <c r="C900" s="16"/>
      <c r="D900" s="25"/>
      <c r="E900" s="25"/>
      <c r="F900" s="16"/>
      <c r="G900" s="25"/>
      <c r="H900" s="16"/>
      <c r="I900" s="17"/>
    </row>
    <row r="901" spans="1:9" ht="18" customHeight="1">
      <c r="A901" s="16"/>
      <c r="B901" s="16"/>
      <c r="C901" s="16"/>
      <c r="D901" s="25"/>
      <c r="E901" s="25"/>
      <c r="F901" s="16"/>
      <c r="G901" s="25"/>
      <c r="H901" s="16"/>
      <c r="I901" s="17"/>
    </row>
    <row r="902" spans="1:9" ht="18" customHeight="1">
      <c r="A902" s="16"/>
      <c r="B902" s="16"/>
      <c r="C902" s="16"/>
      <c r="D902" s="25"/>
      <c r="E902" s="25"/>
      <c r="F902" s="16"/>
      <c r="G902" s="25"/>
      <c r="H902" s="16"/>
      <c r="I902" s="17"/>
    </row>
    <row r="903" spans="1:9" ht="18" customHeight="1">
      <c r="A903" s="16"/>
      <c r="B903" s="16"/>
      <c r="C903" s="16"/>
      <c r="D903" s="25"/>
      <c r="E903" s="25"/>
      <c r="F903" s="16"/>
      <c r="G903" s="25"/>
      <c r="H903" s="16"/>
      <c r="I903" s="17"/>
    </row>
    <row r="904" spans="1:9" ht="18" customHeight="1">
      <c r="A904" s="16"/>
      <c r="B904" s="16"/>
      <c r="C904" s="16"/>
      <c r="D904" s="25"/>
      <c r="E904" s="25"/>
      <c r="F904" s="16"/>
      <c r="G904" s="25"/>
      <c r="H904" s="16"/>
      <c r="I904" s="17"/>
    </row>
    <row r="905" spans="1:9" ht="18" customHeight="1">
      <c r="A905" s="16"/>
      <c r="B905" s="16"/>
      <c r="C905" s="16"/>
      <c r="D905" s="25"/>
      <c r="E905" s="25"/>
      <c r="F905" s="16"/>
      <c r="G905" s="25"/>
      <c r="H905" s="16"/>
      <c r="I905" s="17"/>
    </row>
    <row r="906" spans="1:9" ht="18" customHeight="1">
      <c r="A906" s="16"/>
      <c r="B906" s="16"/>
      <c r="C906" s="16"/>
      <c r="D906" s="25"/>
      <c r="E906" s="25"/>
      <c r="F906" s="16"/>
      <c r="G906" s="25"/>
      <c r="H906" s="16"/>
      <c r="I906" s="17"/>
    </row>
    <row r="907" spans="1:9" ht="18" customHeight="1">
      <c r="A907" s="16"/>
      <c r="B907" s="16"/>
      <c r="C907" s="16"/>
      <c r="D907" s="25"/>
      <c r="E907" s="25"/>
      <c r="F907" s="16"/>
      <c r="G907" s="25"/>
      <c r="H907" s="16"/>
      <c r="I907" s="17"/>
    </row>
    <row r="908" spans="1:9" ht="18" customHeight="1">
      <c r="A908" s="16"/>
      <c r="B908" s="16"/>
      <c r="C908" s="16"/>
      <c r="D908" s="25"/>
      <c r="E908" s="25"/>
      <c r="F908" s="16"/>
      <c r="G908" s="25"/>
      <c r="H908" s="16"/>
      <c r="I908" s="17"/>
    </row>
    <row r="909" spans="1:9" ht="18" customHeight="1">
      <c r="A909" s="16"/>
      <c r="B909" s="16"/>
      <c r="C909" s="16"/>
      <c r="D909" s="25"/>
      <c r="E909" s="25"/>
      <c r="F909" s="16"/>
      <c r="G909" s="25"/>
      <c r="H909" s="16"/>
      <c r="I909" s="17"/>
    </row>
    <row r="910" spans="1:9" ht="18" customHeight="1">
      <c r="A910" s="16"/>
      <c r="B910" s="16"/>
      <c r="C910" s="16"/>
      <c r="D910" s="25"/>
      <c r="E910" s="25"/>
      <c r="F910" s="16"/>
      <c r="G910" s="25"/>
      <c r="H910" s="16"/>
      <c r="I910" s="17"/>
    </row>
    <row r="911" spans="1:9" ht="18" customHeight="1">
      <c r="A911" s="16"/>
      <c r="B911" s="16"/>
      <c r="C911" s="16"/>
      <c r="D911" s="25"/>
      <c r="E911" s="25"/>
      <c r="F911" s="16"/>
      <c r="G911" s="25"/>
      <c r="H911" s="16"/>
      <c r="I911" s="17"/>
    </row>
    <row r="912" spans="1:9" ht="18" customHeight="1">
      <c r="A912" s="16"/>
      <c r="B912" s="16"/>
      <c r="C912" s="16"/>
      <c r="D912" s="25"/>
      <c r="E912" s="25"/>
      <c r="F912" s="16"/>
      <c r="G912" s="25"/>
      <c r="H912" s="16"/>
      <c r="I912" s="17"/>
    </row>
    <row r="913" spans="1:9" ht="18" customHeight="1">
      <c r="A913" s="16"/>
      <c r="B913" s="16"/>
      <c r="C913" s="16"/>
      <c r="D913" s="25"/>
      <c r="E913" s="25"/>
      <c r="F913" s="16"/>
      <c r="G913" s="25"/>
      <c r="H913" s="16"/>
      <c r="I913" s="17"/>
    </row>
    <row r="914" spans="1:9" ht="18" customHeight="1">
      <c r="A914" s="16"/>
      <c r="B914" s="16"/>
      <c r="C914" s="16"/>
      <c r="D914" s="25"/>
      <c r="E914" s="25"/>
      <c r="F914" s="16"/>
      <c r="G914" s="25"/>
      <c r="H914" s="16"/>
      <c r="I914" s="17"/>
    </row>
    <row r="915" spans="1:9" ht="18" customHeight="1">
      <c r="A915" s="16"/>
      <c r="B915" s="16"/>
      <c r="C915" s="16"/>
      <c r="D915" s="25"/>
      <c r="E915" s="25"/>
      <c r="F915" s="16"/>
      <c r="G915" s="25"/>
      <c r="H915" s="16"/>
      <c r="I915" s="17"/>
    </row>
    <row r="916" spans="1:9" ht="18" customHeight="1">
      <c r="A916" s="16"/>
      <c r="B916" s="16"/>
      <c r="C916" s="16"/>
      <c r="D916" s="25"/>
      <c r="E916" s="25"/>
      <c r="F916" s="16"/>
      <c r="G916" s="25"/>
      <c r="H916" s="16"/>
      <c r="I916" s="17"/>
    </row>
    <row r="917" spans="1:9" ht="18" customHeight="1">
      <c r="A917" s="16"/>
      <c r="B917" s="16"/>
      <c r="C917" s="16"/>
      <c r="D917" s="25"/>
      <c r="E917" s="25"/>
      <c r="F917" s="16"/>
      <c r="G917" s="25"/>
      <c r="H917" s="16"/>
      <c r="I917" s="17"/>
    </row>
    <row r="918" spans="1:9" ht="18" customHeight="1">
      <c r="A918" s="16"/>
      <c r="B918" s="16"/>
      <c r="C918" s="16"/>
      <c r="D918" s="25"/>
      <c r="E918" s="25"/>
      <c r="F918" s="16"/>
      <c r="G918" s="25"/>
      <c r="H918" s="16"/>
      <c r="I918" s="17"/>
    </row>
    <row r="919" spans="1:9" ht="18" customHeight="1">
      <c r="A919" s="16"/>
      <c r="B919" s="16"/>
      <c r="C919" s="16"/>
      <c r="D919" s="25"/>
      <c r="E919" s="25"/>
      <c r="F919" s="16"/>
      <c r="G919" s="25"/>
      <c r="H919" s="16"/>
      <c r="I919" s="17"/>
    </row>
    <row r="920" spans="1:9" ht="18" customHeight="1">
      <c r="A920" s="16"/>
      <c r="B920" s="16"/>
      <c r="C920" s="16"/>
      <c r="D920" s="25"/>
      <c r="E920" s="25"/>
      <c r="F920" s="16"/>
      <c r="G920" s="25"/>
      <c r="H920" s="16"/>
      <c r="I920" s="17"/>
    </row>
    <row r="921" spans="1:9" ht="18" customHeight="1">
      <c r="A921" s="16"/>
      <c r="B921" s="16"/>
      <c r="C921" s="16"/>
      <c r="D921" s="25"/>
      <c r="E921" s="25"/>
      <c r="F921" s="16"/>
      <c r="G921" s="25"/>
      <c r="H921" s="16"/>
      <c r="I921" s="17"/>
    </row>
    <row r="922" spans="1:9" ht="18" customHeight="1">
      <c r="A922" s="16"/>
      <c r="B922" s="16"/>
      <c r="C922" s="16"/>
      <c r="D922" s="25"/>
      <c r="E922" s="25"/>
      <c r="F922" s="16"/>
      <c r="G922" s="25"/>
      <c r="H922" s="16"/>
      <c r="I922" s="17"/>
    </row>
    <row r="923" spans="1:9" ht="18" customHeight="1">
      <c r="A923" s="16"/>
      <c r="B923" s="16"/>
      <c r="C923" s="16"/>
      <c r="D923" s="25"/>
      <c r="E923" s="25"/>
      <c r="F923" s="16"/>
      <c r="G923" s="25"/>
      <c r="H923" s="16"/>
      <c r="I923" s="17"/>
    </row>
    <row r="924" spans="1:9" ht="18" customHeight="1">
      <c r="A924" s="16"/>
      <c r="B924" s="16"/>
      <c r="C924" s="16"/>
      <c r="D924" s="25"/>
      <c r="E924" s="25"/>
      <c r="F924" s="16"/>
      <c r="G924" s="25"/>
      <c r="H924" s="16"/>
      <c r="I924" s="17"/>
    </row>
    <row r="925" spans="1:9" ht="18" customHeight="1">
      <c r="A925" s="16"/>
      <c r="B925" s="16"/>
      <c r="C925" s="16"/>
      <c r="D925" s="25"/>
      <c r="E925" s="25"/>
      <c r="F925" s="16"/>
      <c r="G925" s="25"/>
      <c r="H925" s="16"/>
      <c r="I925" s="17"/>
    </row>
    <row r="926" spans="1:9" ht="18" customHeight="1">
      <c r="A926" s="16"/>
      <c r="B926" s="16"/>
      <c r="C926" s="16"/>
      <c r="D926" s="25"/>
      <c r="E926" s="25"/>
      <c r="F926" s="16"/>
      <c r="G926" s="25"/>
      <c r="H926" s="16"/>
      <c r="I926" s="17"/>
    </row>
    <row r="927" spans="1:9" ht="18" customHeight="1">
      <c r="A927" s="16"/>
      <c r="B927" s="16"/>
      <c r="C927" s="16"/>
      <c r="D927" s="25"/>
      <c r="E927" s="25"/>
      <c r="F927" s="16"/>
      <c r="G927" s="25"/>
      <c r="H927" s="16"/>
      <c r="I927" s="17"/>
    </row>
    <row r="928" spans="1:9" ht="18" customHeight="1">
      <c r="A928" s="16"/>
      <c r="B928" s="16"/>
      <c r="C928" s="16"/>
      <c r="D928" s="25"/>
      <c r="E928" s="25"/>
      <c r="F928" s="16"/>
      <c r="G928" s="25"/>
      <c r="H928" s="16"/>
      <c r="I928" s="17"/>
    </row>
    <row r="929" spans="1:9" ht="18" customHeight="1">
      <c r="A929" s="16"/>
      <c r="B929" s="16"/>
      <c r="C929" s="16"/>
      <c r="D929" s="25"/>
      <c r="E929" s="25"/>
      <c r="F929" s="16"/>
      <c r="G929" s="25"/>
      <c r="H929" s="16"/>
      <c r="I929" s="17"/>
    </row>
    <row r="930" spans="1:9" ht="18" customHeight="1">
      <c r="A930" s="16"/>
      <c r="B930" s="16"/>
      <c r="C930" s="16"/>
      <c r="D930" s="25"/>
      <c r="E930" s="25"/>
      <c r="F930" s="16"/>
      <c r="G930" s="25"/>
      <c r="H930" s="16"/>
      <c r="I930" s="17"/>
    </row>
    <row r="931" spans="1:9" ht="18" customHeight="1">
      <c r="A931" s="16"/>
      <c r="B931" s="16"/>
      <c r="C931" s="16"/>
      <c r="D931" s="25"/>
      <c r="E931" s="25"/>
      <c r="F931" s="16"/>
      <c r="G931" s="25"/>
      <c r="H931" s="16"/>
      <c r="I931" s="17"/>
    </row>
    <row r="932" spans="1:9" ht="18" customHeight="1">
      <c r="A932" s="16"/>
      <c r="B932" s="16"/>
      <c r="C932" s="16"/>
      <c r="D932" s="25"/>
      <c r="E932" s="25"/>
      <c r="F932" s="16"/>
      <c r="G932" s="25"/>
      <c r="H932" s="16"/>
      <c r="I932" s="17"/>
    </row>
    <row r="933" spans="1:9" ht="18" customHeight="1">
      <c r="A933" s="16"/>
      <c r="B933" s="16"/>
      <c r="C933" s="16"/>
      <c r="D933" s="25"/>
      <c r="E933" s="25"/>
      <c r="F933" s="16"/>
      <c r="G933" s="25"/>
      <c r="H933" s="16"/>
      <c r="I933" s="17"/>
    </row>
    <row r="934" spans="1:9" ht="18" customHeight="1">
      <c r="A934" s="16"/>
      <c r="B934" s="16"/>
      <c r="C934" s="16"/>
      <c r="D934" s="25"/>
      <c r="E934" s="25"/>
      <c r="F934" s="16"/>
      <c r="G934" s="25"/>
      <c r="H934" s="16"/>
      <c r="I934" s="17"/>
    </row>
    <row r="935" spans="1:9" ht="18" customHeight="1">
      <c r="A935" s="16"/>
      <c r="B935" s="16"/>
      <c r="C935" s="16"/>
      <c r="D935" s="25"/>
      <c r="E935" s="25"/>
      <c r="F935" s="16"/>
      <c r="G935" s="25"/>
      <c r="H935" s="16"/>
      <c r="I935" s="17"/>
    </row>
    <row r="936" spans="1:9" ht="18" customHeight="1">
      <c r="A936" s="16"/>
      <c r="B936" s="16"/>
      <c r="C936" s="16"/>
      <c r="D936" s="25"/>
      <c r="E936" s="25"/>
      <c r="F936" s="16"/>
      <c r="G936" s="25"/>
      <c r="H936" s="16"/>
      <c r="I936" s="17"/>
    </row>
    <row r="937" spans="1:9" ht="18" customHeight="1">
      <c r="A937" s="16"/>
      <c r="B937" s="16"/>
      <c r="C937" s="16"/>
      <c r="D937" s="25"/>
      <c r="E937" s="25"/>
      <c r="F937" s="16"/>
      <c r="G937" s="25"/>
      <c r="H937" s="16"/>
      <c r="I937" s="17"/>
    </row>
    <row r="938" spans="1:9" ht="18" customHeight="1">
      <c r="A938" s="16"/>
      <c r="B938" s="16"/>
      <c r="C938" s="16"/>
      <c r="D938" s="25"/>
      <c r="E938" s="25"/>
      <c r="F938" s="16"/>
      <c r="G938" s="25"/>
      <c r="H938" s="16"/>
      <c r="I938" s="17"/>
    </row>
    <row r="939" spans="1:9" ht="18" customHeight="1">
      <c r="A939" s="16"/>
      <c r="B939" s="16"/>
      <c r="C939" s="16"/>
      <c r="D939" s="25"/>
      <c r="E939" s="25"/>
      <c r="F939" s="16"/>
      <c r="G939" s="25"/>
      <c r="H939" s="16"/>
      <c r="I939" s="17"/>
    </row>
    <row r="940" spans="1:9" ht="18" customHeight="1">
      <c r="A940" s="16"/>
      <c r="B940" s="16"/>
      <c r="C940" s="16"/>
      <c r="D940" s="25"/>
      <c r="E940" s="25"/>
      <c r="F940" s="16"/>
      <c r="G940" s="25"/>
      <c r="H940" s="16"/>
      <c r="I940" s="17"/>
    </row>
    <row r="941" spans="1:9" ht="18" customHeight="1">
      <c r="A941" s="16"/>
      <c r="B941" s="16"/>
      <c r="C941" s="16"/>
      <c r="D941" s="25"/>
      <c r="E941" s="25"/>
      <c r="F941" s="16"/>
      <c r="G941" s="25"/>
      <c r="H941" s="16"/>
      <c r="I941" s="17"/>
    </row>
    <row r="942" spans="1:9" ht="18" customHeight="1">
      <c r="A942" s="16"/>
      <c r="B942" s="16"/>
      <c r="C942" s="16"/>
      <c r="D942" s="25"/>
      <c r="E942" s="25"/>
      <c r="F942" s="16"/>
      <c r="G942" s="25"/>
      <c r="H942" s="16"/>
      <c r="I942" s="17"/>
    </row>
    <row r="943" spans="1:9" ht="18" customHeight="1">
      <c r="A943" s="16"/>
      <c r="B943" s="16"/>
      <c r="C943" s="16"/>
      <c r="D943" s="25"/>
      <c r="E943" s="25"/>
      <c r="F943" s="16"/>
      <c r="G943" s="25"/>
      <c r="H943" s="16"/>
      <c r="I943" s="17"/>
    </row>
    <row r="944" spans="1:9" ht="18" customHeight="1">
      <c r="A944" s="16"/>
      <c r="B944" s="16"/>
      <c r="C944" s="16"/>
      <c r="D944" s="25"/>
      <c r="E944" s="25"/>
      <c r="F944" s="16"/>
      <c r="G944" s="25"/>
      <c r="H944" s="16"/>
      <c r="I944" s="17"/>
    </row>
    <row r="945" spans="1:9" ht="18" customHeight="1">
      <c r="A945" s="16"/>
      <c r="B945" s="16"/>
      <c r="C945" s="16"/>
      <c r="D945" s="25"/>
      <c r="E945" s="25"/>
      <c r="F945" s="16"/>
      <c r="G945" s="25"/>
      <c r="H945" s="16"/>
      <c r="I945" s="17"/>
    </row>
    <row r="946" spans="1:9" ht="18" customHeight="1">
      <c r="A946" s="16"/>
      <c r="B946" s="16"/>
      <c r="C946" s="16"/>
      <c r="D946" s="25"/>
      <c r="E946" s="25"/>
      <c r="F946" s="16"/>
      <c r="G946" s="25"/>
      <c r="H946" s="16"/>
      <c r="I946" s="17"/>
    </row>
    <row r="947" spans="1:9" ht="18" customHeight="1">
      <c r="A947" s="16"/>
      <c r="B947" s="16"/>
      <c r="C947" s="16"/>
      <c r="D947" s="25"/>
      <c r="E947" s="25"/>
      <c r="F947" s="16"/>
      <c r="G947" s="25"/>
      <c r="H947" s="16"/>
      <c r="I947" s="17"/>
    </row>
    <row r="948" spans="1:9" ht="18" customHeight="1">
      <c r="A948" s="16"/>
      <c r="B948" s="16"/>
      <c r="C948" s="16"/>
      <c r="D948" s="25"/>
      <c r="E948" s="25"/>
      <c r="F948" s="16"/>
      <c r="G948" s="25"/>
      <c r="H948" s="16"/>
      <c r="I948" s="17"/>
    </row>
    <row r="949" spans="1:9" ht="18" customHeight="1">
      <c r="A949" s="16"/>
      <c r="B949" s="16"/>
      <c r="C949" s="16"/>
      <c r="D949" s="25"/>
      <c r="E949" s="25"/>
      <c r="F949" s="16"/>
      <c r="G949" s="25"/>
      <c r="H949" s="16"/>
      <c r="I949" s="17"/>
    </row>
    <row r="950" spans="1:9" ht="18" customHeight="1">
      <c r="A950" s="16"/>
      <c r="B950" s="16"/>
      <c r="C950" s="16"/>
      <c r="D950" s="25"/>
      <c r="E950" s="25"/>
      <c r="F950" s="16"/>
      <c r="G950" s="25"/>
      <c r="H950" s="16"/>
      <c r="I950" s="17"/>
    </row>
    <row r="951" spans="1:9" ht="18" customHeight="1">
      <c r="A951" s="16"/>
      <c r="B951" s="16"/>
      <c r="C951" s="16"/>
      <c r="D951" s="25"/>
      <c r="E951" s="25"/>
      <c r="F951" s="16"/>
      <c r="G951" s="25"/>
      <c r="H951" s="16"/>
      <c r="I951" s="17"/>
    </row>
    <row r="952" spans="1:9" ht="18" customHeight="1">
      <c r="A952" s="16"/>
      <c r="B952" s="16"/>
      <c r="C952" s="16"/>
      <c r="D952" s="25"/>
      <c r="E952" s="25"/>
      <c r="F952" s="16"/>
      <c r="G952" s="25"/>
      <c r="H952" s="16"/>
      <c r="I952" s="17"/>
    </row>
    <row r="953" spans="1:9" ht="18" customHeight="1">
      <c r="A953" s="16"/>
      <c r="B953" s="16"/>
      <c r="C953" s="16"/>
      <c r="D953" s="25"/>
      <c r="E953" s="25"/>
      <c r="F953" s="16"/>
      <c r="G953" s="25"/>
      <c r="H953" s="16"/>
      <c r="I953" s="17"/>
    </row>
    <row r="954" spans="1:9" ht="18" customHeight="1">
      <c r="A954" s="16"/>
      <c r="B954" s="16"/>
      <c r="C954" s="16"/>
      <c r="D954" s="25"/>
      <c r="E954" s="25"/>
      <c r="F954" s="16"/>
      <c r="G954" s="25"/>
      <c r="H954" s="16"/>
      <c r="I954" s="17"/>
    </row>
    <row r="955" spans="1:9" ht="18" customHeight="1">
      <c r="A955" s="16"/>
      <c r="B955" s="16"/>
      <c r="C955" s="16"/>
      <c r="D955" s="25"/>
      <c r="E955" s="25"/>
      <c r="F955" s="16"/>
      <c r="G955" s="25"/>
      <c r="H955" s="16"/>
      <c r="I955" s="17"/>
    </row>
    <row r="956" spans="1:9" ht="18" customHeight="1">
      <c r="A956" s="16"/>
      <c r="B956" s="16"/>
      <c r="C956" s="16"/>
      <c r="D956" s="25"/>
      <c r="E956" s="25"/>
      <c r="F956" s="16"/>
      <c r="G956" s="25"/>
      <c r="H956" s="16"/>
      <c r="I956" s="17"/>
    </row>
    <row r="957" spans="1:9" ht="18" customHeight="1">
      <c r="A957" s="16"/>
      <c r="B957" s="16"/>
      <c r="C957" s="16"/>
      <c r="D957" s="25"/>
      <c r="E957" s="25"/>
      <c r="F957" s="16"/>
      <c r="G957" s="25"/>
      <c r="H957" s="16"/>
      <c r="I957" s="17"/>
    </row>
    <row r="958" spans="1:9" ht="18" customHeight="1">
      <c r="A958" s="16"/>
      <c r="B958" s="16"/>
      <c r="C958" s="16"/>
      <c r="D958" s="25"/>
      <c r="E958" s="25"/>
      <c r="F958" s="16"/>
      <c r="G958" s="25"/>
      <c r="H958" s="16"/>
      <c r="I958" s="17"/>
    </row>
    <row r="959" spans="1:9" ht="18" customHeight="1">
      <c r="A959" s="16"/>
      <c r="B959" s="16"/>
      <c r="C959" s="16"/>
      <c r="D959" s="25"/>
      <c r="E959" s="25"/>
      <c r="F959" s="16"/>
      <c r="G959" s="25"/>
      <c r="H959" s="16"/>
      <c r="I959" s="17"/>
    </row>
    <row r="960" spans="1:9" ht="18" customHeight="1">
      <c r="A960" s="16"/>
      <c r="B960" s="16"/>
      <c r="C960" s="16"/>
      <c r="D960" s="25"/>
      <c r="E960" s="25"/>
      <c r="F960" s="16"/>
      <c r="G960" s="25"/>
      <c r="H960" s="16"/>
      <c r="I960" s="17"/>
    </row>
    <row r="961" spans="1:9" ht="18" customHeight="1">
      <c r="A961" s="16"/>
      <c r="B961" s="16"/>
      <c r="C961" s="16"/>
      <c r="D961" s="25"/>
      <c r="E961" s="25"/>
      <c r="F961" s="16"/>
      <c r="G961" s="25"/>
      <c r="H961" s="16"/>
      <c r="I961" s="17"/>
    </row>
    <row r="962" spans="1:9" ht="18" customHeight="1">
      <c r="A962" s="16"/>
      <c r="B962" s="16"/>
      <c r="C962" s="16"/>
      <c r="D962" s="25"/>
      <c r="E962" s="25"/>
      <c r="F962" s="16"/>
      <c r="G962" s="25"/>
      <c r="H962" s="16"/>
      <c r="I962" s="17"/>
    </row>
    <row r="963" spans="1:9" ht="18" customHeight="1">
      <c r="A963" s="16"/>
      <c r="B963" s="16"/>
      <c r="C963" s="16"/>
      <c r="D963" s="25"/>
      <c r="E963" s="25"/>
      <c r="F963" s="16"/>
      <c r="G963" s="25"/>
      <c r="H963" s="16"/>
      <c r="I963" s="17"/>
    </row>
    <row r="964" spans="1:9" ht="18" customHeight="1">
      <c r="A964" s="16"/>
      <c r="B964" s="16"/>
      <c r="C964" s="16"/>
      <c r="D964" s="25"/>
      <c r="E964" s="25"/>
      <c r="F964" s="16"/>
      <c r="G964" s="25"/>
      <c r="H964" s="16"/>
      <c r="I964" s="17"/>
    </row>
    <row r="965" spans="1:9" ht="18" customHeight="1">
      <c r="A965" s="16"/>
      <c r="B965" s="16"/>
      <c r="C965" s="16"/>
      <c r="D965" s="25"/>
      <c r="E965" s="25"/>
      <c r="F965" s="16"/>
      <c r="G965" s="25"/>
      <c r="H965" s="16"/>
      <c r="I965" s="17"/>
    </row>
    <row r="966" spans="1:9" ht="18" customHeight="1">
      <c r="A966" s="16"/>
      <c r="B966" s="16"/>
      <c r="C966" s="16"/>
      <c r="D966" s="25"/>
      <c r="E966" s="25"/>
      <c r="F966" s="16"/>
      <c r="G966" s="25"/>
      <c r="H966" s="16"/>
      <c r="I966" s="17"/>
    </row>
    <row r="967" spans="1:9" ht="18" customHeight="1">
      <c r="A967" s="16"/>
      <c r="B967" s="16"/>
      <c r="C967" s="16"/>
      <c r="D967" s="25"/>
      <c r="E967" s="25"/>
      <c r="F967" s="16"/>
      <c r="G967" s="25"/>
      <c r="H967" s="16"/>
      <c r="I967" s="17"/>
    </row>
    <row r="968" spans="1:9" ht="18" customHeight="1">
      <c r="A968" s="16"/>
      <c r="B968" s="16"/>
      <c r="C968" s="16"/>
      <c r="D968" s="25"/>
      <c r="E968" s="25"/>
      <c r="F968" s="16"/>
      <c r="G968" s="25"/>
      <c r="H968" s="16"/>
      <c r="I968" s="17"/>
    </row>
    <row r="969" spans="1:9" ht="18" customHeight="1">
      <c r="A969" s="16"/>
      <c r="B969" s="16"/>
      <c r="C969" s="16"/>
      <c r="D969" s="25"/>
      <c r="E969" s="25"/>
      <c r="F969" s="16"/>
      <c r="G969" s="25"/>
      <c r="H969" s="16"/>
      <c r="I969" s="17"/>
    </row>
    <row r="970" spans="1:9" ht="18" customHeight="1">
      <c r="A970" s="16"/>
      <c r="B970" s="16"/>
      <c r="C970" s="16"/>
      <c r="D970" s="25"/>
      <c r="E970" s="25"/>
      <c r="F970" s="16"/>
      <c r="G970" s="25"/>
      <c r="H970" s="16"/>
      <c r="I970" s="17"/>
    </row>
    <row r="971" spans="1:9" ht="18" customHeight="1">
      <c r="A971" s="16"/>
      <c r="B971" s="16"/>
      <c r="C971" s="16"/>
      <c r="D971" s="25"/>
      <c r="E971" s="25"/>
      <c r="F971" s="16"/>
      <c r="G971" s="25"/>
      <c r="H971" s="16"/>
      <c r="I971" s="17"/>
    </row>
    <row r="972" spans="1:9" ht="18" customHeight="1">
      <c r="A972" s="16"/>
      <c r="B972" s="16"/>
      <c r="C972" s="16"/>
      <c r="D972" s="25"/>
      <c r="E972" s="25"/>
      <c r="F972" s="16"/>
      <c r="G972" s="25"/>
      <c r="H972" s="16"/>
      <c r="I972" s="17"/>
    </row>
    <row r="973" spans="1:9" ht="18" customHeight="1">
      <c r="A973" s="16"/>
      <c r="B973" s="16"/>
      <c r="C973" s="16"/>
      <c r="D973" s="25"/>
      <c r="E973" s="25"/>
      <c r="F973" s="16"/>
      <c r="G973" s="25"/>
      <c r="H973" s="16"/>
      <c r="I973" s="17"/>
    </row>
    <row r="974" spans="1:9" ht="18" customHeight="1">
      <c r="A974" s="16"/>
      <c r="B974" s="16"/>
      <c r="C974" s="16"/>
      <c r="D974" s="25"/>
      <c r="E974" s="25"/>
      <c r="F974" s="16"/>
      <c r="G974" s="25"/>
      <c r="H974" s="16"/>
      <c r="I974" s="17"/>
    </row>
    <row r="975" spans="1:9" ht="18" customHeight="1">
      <c r="A975" s="16"/>
      <c r="B975" s="16"/>
      <c r="C975" s="16"/>
      <c r="D975" s="25"/>
      <c r="E975" s="25"/>
      <c r="F975" s="16"/>
      <c r="G975" s="25"/>
      <c r="H975" s="16"/>
      <c r="I975" s="17"/>
    </row>
    <row r="976" spans="1:9" ht="18" customHeight="1">
      <c r="A976" s="16"/>
      <c r="B976" s="16"/>
      <c r="C976" s="16"/>
      <c r="D976" s="25"/>
      <c r="E976" s="25"/>
      <c r="F976" s="16"/>
      <c r="G976" s="25"/>
      <c r="H976" s="16"/>
      <c r="I976" s="17"/>
    </row>
    <row r="977" spans="1:9" ht="18" customHeight="1">
      <c r="A977" s="16"/>
      <c r="B977" s="16"/>
      <c r="C977" s="16"/>
      <c r="D977" s="25"/>
      <c r="E977" s="25"/>
      <c r="F977" s="16"/>
      <c r="G977" s="25"/>
      <c r="H977" s="16"/>
      <c r="I977" s="17"/>
    </row>
    <row r="978" spans="1:9" ht="18" customHeight="1">
      <c r="A978" s="16"/>
      <c r="B978" s="16"/>
      <c r="C978" s="16"/>
      <c r="D978" s="25"/>
      <c r="E978" s="25"/>
      <c r="F978" s="16"/>
      <c r="G978" s="25"/>
      <c r="H978" s="16"/>
      <c r="I978" s="17"/>
    </row>
    <row r="979" spans="1:9" ht="18" customHeight="1">
      <c r="A979" s="16"/>
      <c r="B979" s="16"/>
      <c r="C979" s="16"/>
      <c r="D979" s="25"/>
      <c r="E979" s="25"/>
      <c r="F979" s="16"/>
      <c r="G979" s="25"/>
      <c r="H979" s="16"/>
      <c r="I979" s="17"/>
    </row>
    <row r="980" spans="1:9" ht="18" customHeight="1">
      <c r="A980" s="16"/>
      <c r="B980" s="16"/>
      <c r="C980" s="16"/>
      <c r="D980" s="25"/>
      <c r="E980" s="25"/>
      <c r="F980" s="16"/>
      <c r="G980" s="25"/>
      <c r="H980" s="16"/>
      <c r="I980" s="17"/>
    </row>
    <row r="981" spans="1:9" ht="18" customHeight="1">
      <c r="A981" s="16"/>
      <c r="B981" s="16"/>
      <c r="C981" s="16"/>
      <c r="D981" s="25"/>
      <c r="E981" s="25"/>
      <c r="F981" s="16"/>
      <c r="G981" s="25"/>
      <c r="H981" s="16"/>
      <c r="I981" s="17"/>
    </row>
    <row r="982" spans="1:9" ht="18" customHeight="1">
      <c r="A982" s="16"/>
      <c r="B982" s="16"/>
      <c r="C982" s="16"/>
      <c r="D982" s="25"/>
      <c r="E982" s="25"/>
      <c r="F982" s="16"/>
      <c r="G982" s="25"/>
      <c r="H982" s="16"/>
      <c r="I982" s="17"/>
    </row>
    <row r="983" spans="1:9" ht="18" customHeight="1">
      <c r="A983" s="16"/>
      <c r="B983" s="16"/>
      <c r="C983" s="16"/>
      <c r="D983" s="25"/>
      <c r="E983" s="25"/>
      <c r="F983" s="16"/>
      <c r="G983" s="25"/>
      <c r="H983" s="16"/>
      <c r="I983" s="17"/>
    </row>
    <row r="984" spans="1:9" ht="18" customHeight="1">
      <c r="A984" s="16"/>
      <c r="B984" s="16"/>
      <c r="C984" s="16"/>
      <c r="D984" s="25"/>
      <c r="E984" s="25"/>
      <c r="F984" s="16"/>
      <c r="G984" s="25"/>
      <c r="H984" s="16"/>
      <c r="I984" s="17"/>
    </row>
    <row r="985" spans="1:9" ht="18" customHeight="1">
      <c r="A985" s="16"/>
      <c r="B985" s="16"/>
      <c r="C985" s="16"/>
      <c r="D985" s="25"/>
      <c r="E985" s="25"/>
      <c r="F985" s="16"/>
      <c r="G985" s="25"/>
      <c r="H985" s="16"/>
      <c r="I985" s="17"/>
    </row>
    <row r="986" spans="1:9" ht="18" customHeight="1">
      <c r="A986" s="16"/>
      <c r="B986" s="16"/>
      <c r="C986" s="16"/>
      <c r="D986" s="25"/>
      <c r="E986" s="25"/>
      <c r="F986" s="16"/>
      <c r="G986" s="25"/>
      <c r="H986" s="16"/>
      <c r="I986" s="17"/>
    </row>
    <row r="987" spans="1:9" ht="18" customHeight="1">
      <c r="A987" s="16"/>
      <c r="B987" s="16"/>
      <c r="C987" s="16"/>
      <c r="D987" s="25"/>
      <c r="E987" s="25"/>
      <c r="F987" s="16"/>
      <c r="G987" s="25"/>
      <c r="H987" s="16"/>
      <c r="I987" s="17"/>
    </row>
    <row r="988" spans="1:9" ht="18" customHeight="1">
      <c r="A988" s="16"/>
      <c r="B988" s="16"/>
      <c r="C988" s="16"/>
      <c r="D988" s="25"/>
      <c r="E988" s="25"/>
      <c r="F988" s="16"/>
      <c r="G988" s="25"/>
      <c r="H988" s="16"/>
      <c r="I988" s="17"/>
    </row>
    <row r="989" spans="1:9" ht="18" customHeight="1">
      <c r="A989" s="16"/>
      <c r="B989" s="16"/>
      <c r="C989" s="16"/>
      <c r="D989" s="25"/>
      <c r="E989" s="25"/>
      <c r="F989" s="16"/>
      <c r="G989" s="25"/>
      <c r="H989" s="16"/>
      <c r="I989" s="17"/>
    </row>
    <row r="990" spans="1:9" ht="18" customHeight="1">
      <c r="A990" s="16"/>
      <c r="B990" s="16"/>
      <c r="C990" s="16"/>
      <c r="D990" s="25"/>
      <c r="E990" s="25"/>
      <c r="F990" s="16"/>
      <c r="G990" s="25"/>
      <c r="H990" s="16"/>
      <c r="I990" s="17"/>
    </row>
    <row r="991" spans="1:9" ht="18" customHeight="1">
      <c r="A991" s="16"/>
      <c r="B991" s="16"/>
      <c r="C991" s="16"/>
      <c r="D991" s="25"/>
      <c r="E991" s="25"/>
      <c r="F991" s="16"/>
      <c r="G991" s="25"/>
      <c r="H991" s="16"/>
      <c r="I991" s="17"/>
    </row>
    <row r="992" spans="1:9" ht="18" customHeight="1">
      <c r="A992" s="16"/>
      <c r="B992" s="16"/>
      <c r="C992" s="16"/>
      <c r="D992" s="25"/>
      <c r="E992" s="25"/>
      <c r="F992" s="16"/>
      <c r="G992" s="25"/>
      <c r="H992" s="16"/>
      <c r="I992" s="17"/>
    </row>
    <row r="993" spans="1:9" ht="18" customHeight="1">
      <c r="A993" s="16"/>
      <c r="B993" s="16"/>
      <c r="C993" s="16"/>
      <c r="D993" s="25"/>
      <c r="E993" s="25"/>
      <c r="F993" s="16"/>
      <c r="G993" s="25"/>
      <c r="H993" s="16"/>
      <c r="I993" s="17"/>
    </row>
    <row r="994" spans="1:9" ht="18" customHeight="1">
      <c r="A994" s="16"/>
      <c r="B994" s="16"/>
      <c r="C994" s="16"/>
      <c r="D994" s="25"/>
      <c r="E994" s="25"/>
      <c r="F994" s="16"/>
      <c r="G994" s="25"/>
      <c r="H994" s="16"/>
      <c r="I994" s="17"/>
    </row>
    <row r="995" spans="1:9" ht="18" customHeight="1">
      <c r="A995" s="16"/>
      <c r="B995" s="16"/>
      <c r="C995" s="16"/>
      <c r="D995" s="25"/>
      <c r="E995" s="25"/>
      <c r="F995" s="16"/>
      <c r="G995" s="25"/>
      <c r="H995" s="16"/>
      <c r="I995" s="17"/>
    </row>
    <row r="996" spans="1:9" ht="18" customHeight="1">
      <c r="A996" s="16"/>
      <c r="B996" s="16"/>
      <c r="C996" s="16"/>
      <c r="D996" s="25"/>
      <c r="E996" s="25"/>
      <c r="F996" s="16"/>
      <c r="G996" s="25"/>
      <c r="H996" s="16"/>
      <c r="I996" s="17"/>
    </row>
    <row r="997" spans="1:9" ht="18" customHeight="1">
      <c r="A997" s="16"/>
      <c r="B997" s="16"/>
      <c r="C997" s="16"/>
      <c r="D997" s="25"/>
      <c r="E997" s="25"/>
      <c r="F997" s="16"/>
      <c r="G997" s="25"/>
      <c r="H997" s="16"/>
      <c r="I997" s="17"/>
    </row>
    <row r="998" spans="1:9" ht="18" customHeight="1">
      <c r="A998" s="16"/>
      <c r="B998" s="16"/>
      <c r="C998" s="16"/>
      <c r="D998" s="25"/>
      <c r="E998" s="25"/>
      <c r="F998" s="16"/>
      <c r="G998" s="25"/>
      <c r="H998" s="16"/>
      <c r="I998" s="17"/>
    </row>
    <row r="999" spans="1:9" ht="18" customHeight="1">
      <c r="A999" s="16"/>
      <c r="B999" s="16"/>
      <c r="C999" s="16"/>
      <c r="D999" s="25"/>
      <c r="E999" s="25"/>
      <c r="F999" s="16"/>
      <c r="G999" s="25"/>
      <c r="H999" s="16"/>
      <c r="I999" s="17"/>
    </row>
    <row r="1000" spans="1:9" ht="18" customHeight="1">
      <c r="A1000" s="16"/>
      <c r="B1000" s="16"/>
      <c r="C1000" s="16"/>
      <c r="D1000" s="25"/>
      <c r="E1000" s="25"/>
      <c r="F1000" s="16"/>
      <c r="G1000" s="25"/>
      <c r="H1000" s="16"/>
      <c r="I1000" s="17"/>
    </row>
    <row r="1001" spans="1:9" ht="18" customHeight="1">
      <c r="A1001" s="16"/>
      <c r="B1001" s="16"/>
      <c r="C1001" s="16"/>
      <c r="D1001" s="25"/>
      <c r="E1001" s="25"/>
      <c r="F1001" s="16"/>
      <c r="G1001" s="25"/>
      <c r="H1001" s="16"/>
      <c r="I1001" s="17"/>
    </row>
    <row r="1002" spans="1:9" ht="18" customHeight="1">
      <c r="A1002" s="16"/>
      <c r="B1002" s="16"/>
      <c r="C1002" s="16"/>
      <c r="D1002" s="25"/>
      <c r="E1002" s="25"/>
      <c r="F1002" s="16"/>
      <c r="G1002" s="25"/>
      <c r="H1002" s="16"/>
      <c r="I1002" s="17"/>
    </row>
    <row r="1003" spans="1:9" ht="18" customHeight="1">
      <c r="A1003" s="16"/>
      <c r="B1003" s="16"/>
      <c r="C1003" s="16"/>
      <c r="D1003" s="25"/>
      <c r="E1003" s="25"/>
      <c r="F1003" s="16"/>
      <c r="G1003" s="25"/>
      <c r="H1003" s="16"/>
      <c r="I1003" s="17"/>
    </row>
    <row r="1004" spans="1:9" ht="18" customHeight="1">
      <c r="A1004" s="16"/>
      <c r="B1004" s="16"/>
      <c r="C1004" s="16"/>
      <c r="D1004" s="25"/>
      <c r="E1004" s="25"/>
      <c r="F1004" s="16"/>
      <c r="G1004" s="25"/>
      <c r="H1004" s="16"/>
      <c r="I1004" s="17"/>
    </row>
    <row r="1005" spans="1:9" ht="18" customHeight="1">
      <c r="A1005" s="16"/>
      <c r="B1005" s="16"/>
      <c r="C1005" s="16"/>
      <c r="D1005" s="25"/>
      <c r="E1005" s="25"/>
      <c r="F1005" s="16"/>
      <c r="G1005" s="25"/>
      <c r="H1005" s="16"/>
      <c r="I1005" s="17"/>
    </row>
    <row r="1006" spans="1:9" ht="18" customHeight="1">
      <c r="A1006" s="16"/>
      <c r="B1006" s="16"/>
      <c r="C1006" s="16"/>
      <c r="D1006" s="25"/>
      <c r="E1006" s="25"/>
      <c r="F1006" s="16"/>
      <c r="G1006" s="25"/>
      <c r="H1006" s="16"/>
      <c r="I1006" s="17"/>
    </row>
    <row r="1007" spans="1:9" ht="18" customHeight="1">
      <c r="A1007" s="16"/>
      <c r="B1007" s="16"/>
      <c r="C1007" s="16"/>
      <c r="D1007" s="25"/>
      <c r="E1007" s="25"/>
      <c r="F1007" s="16"/>
      <c r="G1007" s="25"/>
      <c r="H1007" s="16"/>
      <c r="I1007" s="17"/>
    </row>
    <row r="1008" spans="1:9" ht="18" customHeight="1">
      <c r="A1008" s="16"/>
      <c r="B1008" s="16"/>
      <c r="C1008" s="16"/>
      <c r="D1008" s="25"/>
      <c r="E1008" s="25"/>
      <c r="F1008" s="16"/>
      <c r="G1008" s="25"/>
      <c r="H1008" s="16"/>
      <c r="I1008" s="17"/>
    </row>
    <row r="1009" spans="1:9" ht="18" customHeight="1">
      <c r="A1009" s="16"/>
      <c r="B1009" s="16"/>
      <c r="C1009" s="16"/>
      <c r="D1009" s="25"/>
      <c r="E1009" s="25"/>
      <c r="F1009" s="16"/>
      <c r="G1009" s="25"/>
      <c r="H1009" s="16"/>
      <c r="I1009" s="17"/>
    </row>
  </sheetData>
  <mergeCells count="2">
    <mergeCell ref="A4:C4"/>
    <mergeCell ref="A6:H6"/>
  </mergeCells>
  <dataValidations count="1">
    <dataValidation type="list" allowBlank="1" showInputMessage="1" showErrorMessage="1" prompt="Click and enter a value from the list of items" sqref="F8:F15" xr:uid="{00000000-0002-0000-0200-000000000000}">
      <formula1>"Payment_Type,Tab,Card,Cash"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8"/>
  <sheetViews>
    <sheetView showGridLines="0" workbookViewId="0">
      <selection activeCell="G13" sqref="G13"/>
    </sheetView>
  </sheetViews>
  <sheetFormatPr defaultColWidth="12.6328125" defaultRowHeight="15.75" customHeight="1"/>
  <cols>
    <col min="1" max="1" width="22.36328125" customWidth="1"/>
    <col min="2" max="2" width="12.7265625" customWidth="1"/>
    <col min="3" max="3" width="11.7265625" customWidth="1"/>
    <col min="4" max="4" width="19.453125" customWidth="1"/>
    <col min="5" max="6" width="11.08984375" customWidth="1"/>
    <col min="7" max="7" width="6.08984375" customWidth="1"/>
  </cols>
  <sheetData>
    <row r="1" spans="1:7" ht="6" customHeight="1">
      <c r="A1" s="1"/>
      <c r="B1" s="2"/>
      <c r="C1" s="3"/>
      <c r="D1" s="3"/>
      <c r="E1" s="3"/>
      <c r="F1" s="3"/>
      <c r="G1" s="1"/>
    </row>
    <row r="2" spans="1:7" ht="18" customHeight="1">
      <c r="A2" s="4"/>
      <c r="B2" s="5"/>
      <c r="C2" s="6"/>
      <c r="D2" s="6"/>
      <c r="E2" s="6"/>
      <c r="F2" s="6"/>
      <c r="G2" s="7"/>
    </row>
    <row r="3" spans="1:7" ht="19.5" customHeight="1">
      <c r="A3" s="8" t="s">
        <v>0</v>
      </c>
      <c r="B3" s="9"/>
      <c r="C3" s="21"/>
      <c r="D3" s="18"/>
      <c r="E3" s="10"/>
      <c r="F3" s="10"/>
      <c r="G3" s="7"/>
    </row>
    <row r="4" spans="1:7" ht="13">
      <c r="A4" s="34"/>
      <c r="B4" s="35"/>
      <c r="C4" s="23"/>
      <c r="D4" s="11"/>
      <c r="E4" s="11"/>
      <c r="F4" s="11"/>
      <c r="G4" s="12"/>
    </row>
    <row r="5" spans="1:7" ht="18" customHeight="1">
      <c r="A5" s="13"/>
      <c r="B5" s="14"/>
      <c r="C5" s="24"/>
      <c r="D5" s="14"/>
      <c r="E5" s="14"/>
      <c r="F5" s="14"/>
      <c r="G5" s="15"/>
    </row>
    <row r="6" spans="1:7" ht="38.5" customHeight="1">
      <c r="A6" s="36" t="s">
        <v>208</v>
      </c>
      <c r="B6" s="35"/>
      <c r="C6" s="35"/>
      <c r="D6" s="35"/>
      <c r="E6" s="35"/>
      <c r="F6" s="35"/>
      <c r="G6" s="15"/>
    </row>
    <row r="7" spans="1:7" ht="13">
      <c r="A7" s="13"/>
      <c r="B7" s="14"/>
      <c r="C7" s="24"/>
      <c r="D7" s="14"/>
      <c r="E7" s="14"/>
      <c r="F7" s="14"/>
      <c r="G7" s="15"/>
    </row>
    <row r="8" spans="1:7" ht="18" customHeight="1">
      <c r="A8" s="16" t="s">
        <v>209</v>
      </c>
      <c r="B8" s="16" t="s">
        <v>210</v>
      </c>
      <c r="C8" s="25" t="s">
        <v>211</v>
      </c>
      <c r="D8" s="16" t="s">
        <v>212</v>
      </c>
      <c r="E8" s="16"/>
      <c r="F8" s="16"/>
      <c r="G8" s="17"/>
    </row>
    <row r="9" spans="1:7" ht="18" customHeight="1">
      <c r="A9" s="28" t="s">
        <v>213</v>
      </c>
      <c r="B9" s="28" t="s">
        <v>199</v>
      </c>
      <c r="C9" s="37">
        <f>IFERROR(SUMIFS(Sales!G:G, Sales!F:F, "Tab", Sales!B:B, B9), 0)</f>
        <v>195</v>
      </c>
      <c r="D9" s="28" t="s">
        <v>214</v>
      </c>
      <c r="E9" s="16"/>
      <c r="F9" s="16"/>
      <c r="G9" s="17"/>
    </row>
    <row r="10" spans="1:7" ht="18" customHeight="1">
      <c r="A10" s="28" t="s">
        <v>215</v>
      </c>
      <c r="B10" s="28" t="s">
        <v>205</v>
      </c>
      <c r="C10" s="37">
        <f>IFERROR(SUMIFS(Sales!G:G, Sales!F:F, "Tab", Sales!B:B, B10), 0)</f>
        <v>38</v>
      </c>
      <c r="D10" s="28" t="s">
        <v>216</v>
      </c>
      <c r="E10" s="16"/>
      <c r="F10" s="16"/>
      <c r="G10" s="17"/>
    </row>
    <row r="11" spans="1:7" ht="18" customHeight="1">
      <c r="A11" s="28" t="s">
        <v>217</v>
      </c>
      <c r="B11" s="28" t="s">
        <v>206</v>
      </c>
      <c r="C11" s="37">
        <f>IFERROR(SUMIFS(Sales!G:G, Sales!F:F, "Tab", Sales!B:B, B11), 0)</f>
        <v>32</v>
      </c>
      <c r="D11" s="28" t="s">
        <v>216</v>
      </c>
      <c r="E11" s="16"/>
      <c r="F11" s="16"/>
      <c r="G11" s="17"/>
    </row>
    <row r="12" spans="1:7" ht="18" customHeight="1">
      <c r="A12" s="28" t="s">
        <v>218</v>
      </c>
      <c r="B12" s="28" t="s">
        <v>207</v>
      </c>
      <c r="C12" s="37">
        <f>IFERROR(SUMIFS(Sales!G:G, Sales!F:F, "Tab", Sales!B:B, B12), 0)</f>
        <v>22</v>
      </c>
      <c r="D12" s="28" t="s">
        <v>214</v>
      </c>
      <c r="E12" s="16"/>
      <c r="F12" s="16"/>
      <c r="G12" s="17"/>
    </row>
    <row r="13" spans="1:7" ht="18" customHeight="1">
      <c r="A13" s="16"/>
      <c r="B13" s="16"/>
      <c r="C13" s="25"/>
      <c r="D13" s="16"/>
      <c r="E13" s="16"/>
      <c r="F13" s="16"/>
      <c r="G13" s="17"/>
    </row>
    <row r="14" spans="1:7" ht="18" customHeight="1">
      <c r="A14" s="16"/>
      <c r="B14" s="16"/>
      <c r="C14" s="25"/>
      <c r="D14" s="16"/>
      <c r="E14" s="16"/>
      <c r="F14" s="16"/>
      <c r="G14" s="17"/>
    </row>
    <row r="15" spans="1:7" ht="18" customHeight="1">
      <c r="A15" s="16"/>
      <c r="B15" s="16"/>
      <c r="C15" s="25"/>
      <c r="D15" s="16"/>
      <c r="E15" s="16"/>
      <c r="F15" s="16"/>
      <c r="G15" s="17"/>
    </row>
    <row r="16" spans="1:7" ht="18" customHeight="1">
      <c r="A16" s="16"/>
      <c r="B16" s="16"/>
      <c r="C16" s="25"/>
      <c r="D16" s="16"/>
      <c r="E16" s="16"/>
      <c r="F16" s="16"/>
      <c r="G16" s="17"/>
    </row>
    <row r="17" spans="1:7" ht="18" customHeight="1">
      <c r="A17" s="16"/>
      <c r="B17" s="16"/>
      <c r="C17" s="25"/>
      <c r="D17" s="16"/>
      <c r="E17" s="16"/>
      <c r="F17" s="16"/>
      <c r="G17" s="17"/>
    </row>
    <row r="18" spans="1:7" ht="18" customHeight="1">
      <c r="A18" s="16"/>
      <c r="B18" s="16"/>
      <c r="C18" s="25"/>
      <c r="D18" s="16"/>
      <c r="E18" s="16"/>
      <c r="F18" s="16"/>
      <c r="G18" s="17"/>
    </row>
    <row r="19" spans="1:7" ht="18" customHeight="1">
      <c r="A19" s="16"/>
      <c r="B19" s="16"/>
      <c r="C19" s="25"/>
      <c r="D19" s="16"/>
      <c r="E19" s="16"/>
      <c r="F19" s="16"/>
      <c r="G19" s="17"/>
    </row>
    <row r="20" spans="1:7" ht="18" customHeight="1">
      <c r="A20" s="16"/>
      <c r="B20" s="16"/>
      <c r="C20" s="25"/>
      <c r="D20" s="16"/>
      <c r="E20" s="16"/>
      <c r="F20" s="16"/>
      <c r="G20" s="17"/>
    </row>
    <row r="21" spans="1:7" ht="18" customHeight="1">
      <c r="A21" s="16"/>
      <c r="B21" s="16"/>
      <c r="C21" s="25"/>
      <c r="D21" s="16"/>
      <c r="E21" s="16"/>
      <c r="F21" s="16"/>
      <c r="G21" s="17"/>
    </row>
    <row r="22" spans="1:7" ht="18" customHeight="1">
      <c r="A22" s="16"/>
      <c r="B22" s="16"/>
      <c r="C22" s="25"/>
      <c r="D22" s="16"/>
      <c r="E22" s="16"/>
      <c r="F22" s="16"/>
      <c r="G22" s="17"/>
    </row>
    <row r="23" spans="1:7" ht="18" customHeight="1">
      <c r="A23" s="16"/>
      <c r="B23" s="16"/>
      <c r="C23" s="25"/>
      <c r="D23" s="16"/>
      <c r="E23" s="16"/>
      <c r="F23" s="16"/>
      <c r="G23" s="17"/>
    </row>
    <row r="24" spans="1:7" ht="18" customHeight="1">
      <c r="A24" s="16"/>
      <c r="B24" s="16"/>
      <c r="C24" s="25"/>
      <c r="D24" s="16"/>
      <c r="E24" s="16"/>
      <c r="F24" s="16"/>
      <c r="G24" s="17"/>
    </row>
    <row r="25" spans="1:7" ht="18" customHeight="1">
      <c r="A25" s="16"/>
      <c r="B25" s="16"/>
      <c r="C25" s="25"/>
      <c r="D25" s="16"/>
      <c r="E25" s="16"/>
      <c r="F25" s="16"/>
      <c r="G25" s="17"/>
    </row>
    <row r="26" spans="1:7" ht="18" customHeight="1">
      <c r="A26" s="16"/>
      <c r="B26" s="16"/>
      <c r="C26" s="25"/>
      <c r="D26" s="16"/>
      <c r="E26" s="16"/>
      <c r="F26" s="16"/>
      <c r="G26" s="17"/>
    </row>
    <row r="27" spans="1:7" ht="18" customHeight="1">
      <c r="A27" s="16"/>
      <c r="B27" s="16"/>
      <c r="C27" s="25"/>
      <c r="D27" s="16"/>
      <c r="E27" s="16"/>
      <c r="F27" s="16"/>
      <c r="G27" s="17"/>
    </row>
    <row r="28" spans="1:7" ht="18" customHeight="1">
      <c r="A28" s="16"/>
      <c r="B28" s="16"/>
      <c r="C28" s="25"/>
      <c r="D28" s="16"/>
      <c r="E28" s="16"/>
      <c r="F28" s="16"/>
      <c r="G28" s="17"/>
    </row>
    <row r="29" spans="1:7" ht="18" customHeight="1">
      <c r="A29" s="16"/>
      <c r="B29" s="16"/>
      <c r="C29" s="25"/>
      <c r="D29" s="16"/>
      <c r="E29" s="16"/>
      <c r="F29" s="16"/>
      <c r="G29" s="17"/>
    </row>
    <row r="30" spans="1:7" ht="18" customHeight="1">
      <c r="A30" s="16"/>
      <c r="B30" s="16"/>
      <c r="C30" s="25"/>
      <c r="D30" s="16"/>
      <c r="E30" s="16"/>
      <c r="F30" s="16"/>
      <c r="G30" s="17"/>
    </row>
    <row r="31" spans="1:7" ht="18" customHeight="1">
      <c r="A31" s="16"/>
      <c r="B31" s="16"/>
      <c r="C31" s="25"/>
      <c r="D31" s="16"/>
      <c r="E31" s="16"/>
      <c r="F31" s="16"/>
      <c r="G31" s="17"/>
    </row>
    <row r="32" spans="1:7" ht="18" customHeight="1">
      <c r="A32" s="16"/>
      <c r="B32" s="16"/>
      <c r="C32" s="25"/>
      <c r="D32" s="16"/>
      <c r="E32" s="16"/>
      <c r="F32" s="16"/>
      <c r="G32" s="17"/>
    </row>
    <row r="33" spans="1:7" ht="18" customHeight="1">
      <c r="A33" s="16"/>
      <c r="B33" s="16"/>
      <c r="C33" s="25"/>
      <c r="D33" s="16"/>
      <c r="E33" s="16"/>
      <c r="F33" s="16"/>
      <c r="G33" s="17"/>
    </row>
    <row r="34" spans="1:7" ht="18" customHeight="1">
      <c r="A34" s="16"/>
      <c r="B34" s="16"/>
      <c r="C34" s="25"/>
      <c r="D34" s="16"/>
      <c r="E34" s="16"/>
      <c r="F34" s="16"/>
      <c r="G34" s="17"/>
    </row>
    <row r="35" spans="1:7" ht="18" customHeight="1">
      <c r="A35" s="16"/>
      <c r="B35" s="16"/>
      <c r="C35" s="25"/>
      <c r="D35" s="16"/>
      <c r="E35" s="16"/>
      <c r="F35" s="16"/>
      <c r="G35" s="17"/>
    </row>
    <row r="36" spans="1:7" ht="18" customHeight="1">
      <c r="A36" s="16"/>
      <c r="B36" s="16"/>
      <c r="C36" s="25"/>
      <c r="D36" s="16"/>
      <c r="E36" s="16"/>
      <c r="F36" s="16"/>
      <c r="G36" s="17"/>
    </row>
    <row r="37" spans="1:7" ht="18" customHeight="1">
      <c r="A37" s="16"/>
      <c r="B37" s="16"/>
      <c r="C37" s="25"/>
      <c r="D37" s="16"/>
      <c r="E37" s="16"/>
      <c r="F37" s="16"/>
      <c r="G37" s="17"/>
    </row>
    <row r="38" spans="1:7" ht="18" customHeight="1">
      <c r="A38" s="16"/>
      <c r="B38" s="16"/>
      <c r="C38" s="25"/>
      <c r="D38" s="16"/>
      <c r="E38" s="16"/>
      <c r="F38" s="16"/>
      <c r="G38" s="17"/>
    </row>
    <row r="39" spans="1:7" ht="18" customHeight="1">
      <c r="A39" s="16"/>
      <c r="B39" s="16"/>
      <c r="C39" s="25"/>
      <c r="D39" s="16"/>
      <c r="E39" s="16"/>
      <c r="F39" s="16"/>
      <c r="G39" s="17"/>
    </row>
    <row r="40" spans="1:7" ht="18" customHeight="1">
      <c r="A40" s="16"/>
      <c r="B40" s="16"/>
      <c r="C40" s="25"/>
      <c r="D40" s="16"/>
      <c r="E40" s="16"/>
      <c r="F40" s="16"/>
      <c r="G40" s="17"/>
    </row>
    <row r="41" spans="1:7" ht="18" customHeight="1">
      <c r="A41" s="16"/>
      <c r="B41" s="16"/>
      <c r="C41" s="25"/>
      <c r="D41" s="16"/>
      <c r="E41" s="16"/>
      <c r="F41" s="16"/>
      <c r="G41" s="17"/>
    </row>
    <row r="42" spans="1:7" ht="18" customHeight="1">
      <c r="A42" s="16"/>
      <c r="B42" s="16"/>
      <c r="C42" s="25"/>
      <c r="D42" s="16"/>
      <c r="E42" s="16"/>
      <c r="F42" s="16"/>
      <c r="G42" s="17"/>
    </row>
    <row r="43" spans="1:7" ht="18" customHeight="1">
      <c r="A43" s="16"/>
      <c r="B43" s="16"/>
      <c r="C43" s="25"/>
      <c r="D43" s="16"/>
      <c r="E43" s="16"/>
      <c r="F43" s="16"/>
      <c r="G43" s="17"/>
    </row>
    <row r="44" spans="1:7" ht="18" customHeight="1">
      <c r="A44" s="16"/>
      <c r="B44" s="16"/>
      <c r="C44" s="25"/>
      <c r="D44" s="16"/>
      <c r="E44" s="16"/>
      <c r="F44" s="16"/>
      <c r="G44" s="17"/>
    </row>
    <row r="45" spans="1:7" ht="18" customHeight="1">
      <c r="A45" s="16"/>
      <c r="B45" s="16"/>
      <c r="C45" s="25"/>
      <c r="D45" s="16"/>
      <c r="E45" s="16"/>
      <c r="F45" s="16"/>
      <c r="G45" s="17"/>
    </row>
    <row r="46" spans="1:7" ht="18" customHeight="1">
      <c r="A46" s="16"/>
      <c r="B46" s="16"/>
      <c r="C46" s="25"/>
      <c r="D46" s="16"/>
      <c r="E46" s="16"/>
      <c r="F46" s="16"/>
      <c r="G46" s="17"/>
    </row>
    <row r="47" spans="1:7" ht="18" customHeight="1">
      <c r="A47" s="16"/>
      <c r="B47" s="16"/>
      <c r="C47" s="25"/>
      <c r="D47" s="16"/>
      <c r="E47" s="16"/>
      <c r="F47" s="16"/>
      <c r="G47" s="17"/>
    </row>
    <row r="48" spans="1:7" ht="18" customHeight="1">
      <c r="A48" s="16"/>
      <c r="B48" s="16"/>
      <c r="C48" s="25"/>
      <c r="D48" s="16"/>
      <c r="E48" s="16"/>
      <c r="F48" s="16"/>
      <c r="G48" s="17"/>
    </row>
    <row r="49" spans="1:7" ht="18" customHeight="1">
      <c r="A49" s="16"/>
      <c r="B49" s="16"/>
      <c r="C49" s="25"/>
      <c r="D49" s="16"/>
      <c r="E49" s="16"/>
      <c r="F49" s="16"/>
      <c r="G49" s="17"/>
    </row>
    <row r="50" spans="1:7" ht="18" customHeight="1">
      <c r="A50" s="16"/>
      <c r="B50" s="16"/>
      <c r="C50" s="25"/>
      <c r="D50" s="16"/>
      <c r="E50" s="16"/>
      <c r="F50" s="16"/>
      <c r="G50" s="17"/>
    </row>
    <row r="51" spans="1:7" ht="18" customHeight="1">
      <c r="A51" s="16"/>
      <c r="B51" s="16"/>
      <c r="C51" s="25"/>
      <c r="D51" s="16"/>
      <c r="E51" s="16"/>
      <c r="F51" s="16"/>
      <c r="G51" s="17"/>
    </row>
    <row r="52" spans="1:7" ht="18" customHeight="1">
      <c r="A52" s="16"/>
      <c r="B52" s="16"/>
      <c r="C52" s="25"/>
      <c r="D52" s="16"/>
      <c r="E52" s="16"/>
      <c r="F52" s="16"/>
      <c r="G52" s="17"/>
    </row>
    <row r="53" spans="1:7" ht="18" customHeight="1">
      <c r="A53" s="16"/>
      <c r="B53" s="16"/>
      <c r="C53" s="25"/>
      <c r="D53" s="16"/>
      <c r="E53" s="16"/>
      <c r="F53" s="16"/>
      <c r="G53" s="17"/>
    </row>
    <row r="54" spans="1:7" ht="18" customHeight="1">
      <c r="A54" s="16"/>
      <c r="B54" s="16"/>
      <c r="C54" s="25"/>
      <c r="D54" s="16"/>
      <c r="E54" s="16"/>
      <c r="F54" s="16"/>
      <c r="G54" s="17"/>
    </row>
    <row r="55" spans="1:7" ht="18" customHeight="1">
      <c r="A55" s="16"/>
      <c r="B55" s="16"/>
      <c r="C55" s="25"/>
      <c r="D55" s="16"/>
      <c r="E55" s="16"/>
      <c r="F55" s="16"/>
      <c r="G55" s="17"/>
    </row>
    <row r="56" spans="1:7" ht="18" customHeight="1">
      <c r="A56" s="16"/>
      <c r="B56" s="16"/>
      <c r="C56" s="25"/>
      <c r="D56" s="16"/>
      <c r="E56" s="16"/>
      <c r="F56" s="16"/>
      <c r="G56" s="17"/>
    </row>
    <row r="57" spans="1:7" ht="18" customHeight="1">
      <c r="A57" s="16"/>
      <c r="B57" s="16"/>
      <c r="C57" s="25"/>
      <c r="D57" s="16"/>
      <c r="E57" s="16"/>
      <c r="F57" s="16"/>
      <c r="G57" s="17"/>
    </row>
    <row r="58" spans="1:7" ht="18" customHeight="1">
      <c r="A58" s="16"/>
      <c r="B58" s="16"/>
      <c r="C58" s="25"/>
      <c r="D58" s="16"/>
      <c r="E58" s="16"/>
      <c r="F58" s="16"/>
      <c r="G58" s="17"/>
    </row>
    <row r="59" spans="1:7" ht="18" customHeight="1">
      <c r="A59" s="16"/>
      <c r="B59" s="16"/>
      <c r="C59" s="25"/>
      <c r="D59" s="16"/>
      <c r="E59" s="16"/>
      <c r="F59" s="16"/>
      <c r="G59" s="17"/>
    </row>
    <row r="60" spans="1:7" ht="18" customHeight="1">
      <c r="A60" s="16"/>
      <c r="B60" s="16"/>
      <c r="C60" s="25"/>
      <c r="D60" s="16"/>
      <c r="E60" s="16"/>
      <c r="F60" s="16"/>
      <c r="G60" s="17"/>
    </row>
    <row r="61" spans="1:7" ht="18" customHeight="1">
      <c r="A61" s="16"/>
      <c r="B61" s="16"/>
      <c r="C61" s="25"/>
      <c r="D61" s="16"/>
      <c r="E61" s="16"/>
      <c r="F61" s="16"/>
      <c r="G61" s="17"/>
    </row>
    <row r="62" spans="1:7" ht="18" customHeight="1">
      <c r="A62" s="16"/>
      <c r="B62" s="16"/>
      <c r="C62" s="25"/>
      <c r="D62" s="16"/>
      <c r="E62" s="16"/>
      <c r="F62" s="16"/>
      <c r="G62" s="17"/>
    </row>
    <row r="63" spans="1:7" ht="18" customHeight="1">
      <c r="A63" s="16"/>
      <c r="B63" s="16"/>
      <c r="C63" s="25"/>
      <c r="D63" s="16"/>
      <c r="E63" s="16"/>
      <c r="F63" s="16"/>
      <c r="G63" s="17"/>
    </row>
    <row r="64" spans="1:7" ht="18" customHeight="1">
      <c r="A64" s="16"/>
      <c r="B64" s="16"/>
      <c r="C64" s="25"/>
      <c r="D64" s="16"/>
      <c r="E64" s="16"/>
      <c r="F64" s="16"/>
      <c r="G64" s="17"/>
    </row>
    <row r="65" spans="1:7" ht="18" customHeight="1">
      <c r="A65" s="16"/>
      <c r="B65" s="16"/>
      <c r="C65" s="25"/>
      <c r="D65" s="16"/>
      <c r="E65" s="16"/>
      <c r="F65" s="16"/>
      <c r="G65" s="17"/>
    </row>
    <row r="66" spans="1:7" ht="18" customHeight="1">
      <c r="A66" s="16"/>
      <c r="B66" s="16"/>
      <c r="C66" s="25"/>
      <c r="D66" s="16"/>
      <c r="E66" s="16"/>
      <c r="F66" s="16"/>
      <c r="G66" s="17"/>
    </row>
    <row r="67" spans="1:7" ht="18" customHeight="1">
      <c r="A67" s="16"/>
      <c r="B67" s="16"/>
      <c r="C67" s="25"/>
      <c r="D67" s="16"/>
      <c r="E67" s="16"/>
      <c r="F67" s="16"/>
      <c r="G67" s="17"/>
    </row>
    <row r="68" spans="1:7" ht="18" customHeight="1">
      <c r="A68" s="16"/>
      <c r="B68" s="16"/>
      <c r="C68" s="25"/>
      <c r="D68" s="16"/>
      <c r="E68" s="16"/>
      <c r="F68" s="16"/>
      <c r="G68" s="17"/>
    </row>
    <row r="69" spans="1:7" ht="18" customHeight="1">
      <c r="A69" s="16"/>
      <c r="B69" s="16"/>
      <c r="C69" s="25"/>
      <c r="D69" s="16"/>
      <c r="E69" s="16"/>
      <c r="F69" s="16"/>
      <c r="G69" s="17"/>
    </row>
    <row r="70" spans="1:7" ht="18" customHeight="1">
      <c r="A70" s="16"/>
      <c r="B70" s="16"/>
      <c r="C70" s="25"/>
      <c r="D70" s="16"/>
      <c r="E70" s="16"/>
      <c r="F70" s="16"/>
      <c r="G70" s="17"/>
    </row>
    <row r="71" spans="1:7" ht="18" customHeight="1">
      <c r="A71" s="16"/>
      <c r="B71" s="16"/>
      <c r="C71" s="25"/>
      <c r="D71" s="16"/>
      <c r="E71" s="16"/>
      <c r="F71" s="16"/>
      <c r="G71" s="17"/>
    </row>
    <row r="72" spans="1:7" ht="18" customHeight="1">
      <c r="A72" s="16"/>
      <c r="B72" s="16"/>
      <c r="C72" s="25"/>
      <c r="D72" s="16"/>
      <c r="E72" s="16"/>
      <c r="F72" s="16"/>
      <c r="G72" s="17"/>
    </row>
    <row r="73" spans="1:7" ht="18" customHeight="1">
      <c r="A73" s="16"/>
      <c r="B73" s="16"/>
      <c r="C73" s="25"/>
      <c r="D73" s="16"/>
      <c r="E73" s="16"/>
      <c r="F73" s="16"/>
      <c r="G73" s="17"/>
    </row>
    <row r="74" spans="1:7" ht="18" customHeight="1">
      <c r="A74" s="16"/>
      <c r="B74" s="16"/>
      <c r="C74" s="25"/>
      <c r="D74" s="16"/>
      <c r="E74" s="16"/>
      <c r="F74" s="16"/>
      <c r="G74" s="17"/>
    </row>
    <row r="75" spans="1:7" ht="18" customHeight="1">
      <c r="A75" s="16"/>
      <c r="B75" s="16"/>
      <c r="C75" s="25"/>
      <c r="D75" s="16"/>
      <c r="E75" s="16"/>
      <c r="F75" s="16"/>
      <c r="G75" s="17"/>
    </row>
    <row r="76" spans="1:7" ht="18" customHeight="1">
      <c r="A76" s="16"/>
      <c r="B76" s="16"/>
      <c r="C76" s="25"/>
      <c r="D76" s="16"/>
      <c r="E76" s="16"/>
      <c r="F76" s="16"/>
      <c r="G76" s="17"/>
    </row>
    <row r="77" spans="1:7" ht="18" customHeight="1">
      <c r="A77" s="16"/>
      <c r="B77" s="16"/>
      <c r="C77" s="25"/>
      <c r="D77" s="16"/>
      <c r="E77" s="16"/>
      <c r="F77" s="16"/>
      <c r="G77" s="17"/>
    </row>
    <row r="78" spans="1:7" ht="18" customHeight="1">
      <c r="A78" s="16"/>
      <c r="B78" s="16"/>
      <c r="C78" s="25"/>
      <c r="D78" s="16"/>
      <c r="E78" s="16"/>
      <c r="F78" s="16"/>
      <c r="G78" s="17"/>
    </row>
    <row r="79" spans="1:7" ht="18" customHeight="1">
      <c r="A79" s="16"/>
      <c r="B79" s="16"/>
      <c r="C79" s="25"/>
      <c r="D79" s="16"/>
      <c r="E79" s="16"/>
      <c r="F79" s="16"/>
      <c r="G79" s="17"/>
    </row>
    <row r="80" spans="1:7" ht="18" customHeight="1">
      <c r="A80" s="16"/>
      <c r="B80" s="16"/>
      <c r="C80" s="25"/>
      <c r="D80" s="16"/>
      <c r="E80" s="16"/>
      <c r="F80" s="16"/>
      <c r="G80" s="17"/>
    </row>
    <row r="81" spans="1:7" ht="18" customHeight="1">
      <c r="A81" s="16"/>
      <c r="B81" s="16"/>
      <c r="C81" s="25"/>
      <c r="D81" s="16"/>
      <c r="E81" s="16"/>
      <c r="F81" s="16"/>
      <c r="G81" s="17"/>
    </row>
    <row r="82" spans="1:7" ht="18" customHeight="1">
      <c r="A82" s="16"/>
      <c r="B82" s="16"/>
      <c r="C82" s="25"/>
      <c r="D82" s="16"/>
      <c r="E82" s="16"/>
      <c r="F82" s="16"/>
      <c r="G82" s="17"/>
    </row>
    <row r="83" spans="1:7" ht="18" customHeight="1">
      <c r="A83" s="16"/>
      <c r="B83" s="16"/>
      <c r="C83" s="25"/>
      <c r="D83" s="16"/>
      <c r="E83" s="16"/>
      <c r="F83" s="16"/>
      <c r="G83" s="17"/>
    </row>
    <row r="84" spans="1:7" ht="18" customHeight="1">
      <c r="A84" s="16"/>
      <c r="B84" s="16"/>
      <c r="C84" s="25"/>
      <c r="D84" s="16"/>
      <c r="E84" s="16"/>
      <c r="F84" s="16"/>
      <c r="G84" s="17"/>
    </row>
    <row r="85" spans="1:7" ht="18" customHeight="1">
      <c r="A85" s="16"/>
      <c r="B85" s="16"/>
      <c r="C85" s="25"/>
      <c r="D85" s="16"/>
      <c r="E85" s="16"/>
      <c r="F85" s="16"/>
      <c r="G85" s="17"/>
    </row>
    <row r="86" spans="1:7" ht="18" customHeight="1">
      <c r="A86" s="16"/>
      <c r="B86" s="16"/>
      <c r="C86" s="25"/>
      <c r="D86" s="16"/>
      <c r="E86" s="16"/>
      <c r="F86" s="16"/>
      <c r="G86" s="17"/>
    </row>
    <row r="87" spans="1:7" ht="18" customHeight="1">
      <c r="A87" s="16"/>
      <c r="B87" s="16"/>
      <c r="C87" s="25"/>
      <c r="D87" s="16"/>
      <c r="E87" s="16"/>
      <c r="F87" s="16"/>
      <c r="G87" s="17"/>
    </row>
    <row r="88" spans="1:7" ht="18" customHeight="1">
      <c r="A88" s="16"/>
      <c r="B88" s="16"/>
      <c r="C88" s="25"/>
      <c r="D88" s="16"/>
      <c r="E88" s="16"/>
      <c r="F88" s="16"/>
      <c r="G88" s="17"/>
    </row>
    <row r="89" spans="1:7" ht="18" customHeight="1">
      <c r="A89" s="16"/>
      <c r="B89" s="16"/>
      <c r="C89" s="25"/>
      <c r="D89" s="16"/>
      <c r="E89" s="16"/>
      <c r="F89" s="16"/>
      <c r="G89" s="17"/>
    </row>
    <row r="90" spans="1:7" ht="18" customHeight="1">
      <c r="A90" s="16"/>
      <c r="B90" s="16"/>
      <c r="C90" s="25"/>
      <c r="D90" s="16"/>
      <c r="E90" s="16"/>
      <c r="F90" s="16"/>
      <c r="G90" s="17"/>
    </row>
    <row r="91" spans="1:7" ht="18" customHeight="1">
      <c r="A91" s="16"/>
      <c r="B91" s="16"/>
      <c r="C91" s="25"/>
      <c r="D91" s="16"/>
      <c r="E91" s="16"/>
      <c r="F91" s="16"/>
      <c r="G91" s="17"/>
    </row>
    <row r="92" spans="1:7" ht="18" customHeight="1">
      <c r="A92" s="16"/>
      <c r="B92" s="16"/>
      <c r="C92" s="25"/>
      <c r="D92" s="16"/>
      <c r="E92" s="16"/>
      <c r="F92" s="16"/>
      <c r="G92" s="17"/>
    </row>
    <row r="93" spans="1:7" ht="18" customHeight="1">
      <c r="A93" s="16"/>
      <c r="B93" s="16"/>
      <c r="C93" s="25"/>
      <c r="D93" s="16"/>
      <c r="E93" s="16"/>
      <c r="F93" s="16"/>
      <c r="G93" s="17"/>
    </row>
    <row r="94" spans="1:7" ht="18" customHeight="1">
      <c r="A94" s="16"/>
      <c r="B94" s="16"/>
      <c r="C94" s="25"/>
      <c r="D94" s="16"/>
      <c r="E94" s="16"/>
      <c r="F94" s="16"/>
      <c r="G94" s="17"/>
    </row>
    <row r="95" spans="1:7" ht="18" customHeight="1">
      <c r="A95" s="16"/>
      <c r="B95" s="16"/>
      <c r="C95" s="25"/>
      <c r="D95" s="16"/>
      <c r="E95" s="16"/>
      <c r="F95" s="16"/>
      <c r="G95" s="17"/>
    </row>
    <row r="96" spans="1:7" ht="18" customHeight="1">
      <c r="A96" s="16"/>
      <c r="B96" s="16"/>
      <c r="C96" s="25"/>
      <c r="D96" s="16"/>
      <c r="E96" s="16"/>
      <c r="F96" s="16"/>
      <c r="G96" s="17"/>
    </row>
    <row r="97" spans="1:7" ht="18" customHeight="1">
      <c r="A97" s="16"/>
      <c r="B97" s="16"/>
      <c r="C97" s="25"/>
      <c r="D97" s="16"/>
      <c r="E97" s="16"/>
      <c r="F97" s="16"/>
      <c r="G97" s="17"/>
    </row>
    <row r="98" spans="1:7" ht="18" customHeight="1">
      <c r="A98" s="16"/>
      <c r="B98" s="16"/>
      <c r="C98" s="25"/>
      <c r="D98" s="16"/>
      <c r="E98" s="16"/>
      <c r="F98" s="16"/>
      <c r="G98" s="17"/>
    </row>
    <row r="99" spans="1:7" ht="18" customHeight="1">
      <c r="A99" s="16"/>
      <c r="B99" s="16"/>
      <c r="C99" s="25"/>
      <c r="D99" s="16"/>
      <c r="E99" s="16"/>
      <c r="F99" s="16"/>
      <c r="G99" s="17"/>
    </row>
    <row r="100" spans="1:7" ht="18" customHeight="1">
      <c r="A100" s="16"/>
      <c r="B100" s="16"/>
      <c r="C100" s="25"/>
      <c r="D100" s="16"/>
      <c r="E100" s="16"/>
      <c r="F100" s="16"/>
      <c r="G100" s="17"/>
    </row>
    <row r="101" spans="1:7" ht="18" customHeight="1">
      <c r="A101" s="16"/>
      <c r="B101" s="16"/>
      <c r="C101" s="25"/>
      <c r="D101" s="16"/>
      <c r="E101" s="16"/>
      <c r="F101" s="16"/>
      <c r="G101" s="17"/>
    </row>
    <row r="102" spans="1:7" ht="18" customHeight="1">
      <c r="A102" s="16"/>
      <c r="B102" s="16"/>
      <c r="C102" s="25"/>
      <c r="D102" s="16"/>
      <c r="E102" s="16"/>
      <c r="F102" s="16"/>
      <c r="G102" s="17"/>
    </row>
    <row r="103" spans="1:7" ht="18" customHeight="1">
      <c r="A103" s="16"/>
      <c r="B103" s="16"/>
      <c r="C103" s="25"/>
      <c r="D103" s="16"/>
      <c r="E103" s="16"/>
      <c r="F103" s="16"/>
      <c r="G103" s="17"/>
    </row>
    <row r="104" spans="1:7" ht="18" customHeight="1">
      <c r="A104" s="16"/>
      <c r="B104" s="16"/>
      <c r="C104" s="25"/>
      <c r="D104" s="16"/>
      <c r="E104" s="16"/>
      <c r="F104" s="16"/>
      <c r="G104" s="17"/>
    </row>
    <row r="105" spans="1:7" ht="18" customHeight="1">
      <c r="A105" s="16"/>
      <c r="B105" s="16"/>
      <c r="C105" s="25"/>
      <c r="D105" s="16"/>
      <c r="E105" s="16"/>
      <c r="F105" s="16"/>
      <c r="G105" s="17"/>
    </row>
    <row r="106" spans="1:7" ht="18" customHeight="1">
      <c r="A106" s="16"/>
      <c r="B106" s="16"/>
      <c r="C106" s="25"/>
      <c r="D106" s="16"/>
      <c r="E106" s="16"/>
      <c r="F106" s="16"/>
      <c r="G106" s="17"/>
    </row>
    <row r="107" spans="1:7" ht="18" customHeight="1">
      <c r="A107" s="16"/>
      <c r="B107" s="16"/>
      <c r="C107" s="25"/>
      <c r="D107" s="16"/>
      <c r="E107" s="16"/>
      <c r="F107" s="16"/>
      <c r="G107" s="17"/>
    </row>
    <row r="108" spans="1:7" ht="18" customHeight="1">
      <c r="A108" s="16"/>
      <c r="B108" s="16"/>
      <c r="C108" s="25"/>
      <c r="D108" s="16"/>
      <c r="E108" s="16"/>
      <c r="F108" s="16"/>
      <c r="G108" s="17"/>
    </row>
    <row r="109" spans="1:7" ht="18" customHeight="1">
      <c r="A109" s="16"/>
      <c r="B109" s="16"/>
      <c r="C109" s="25"/>
      <c r="D109" s="16"/>
      <c r="E109" s="16"/>
      <c r="F109" s="16"/>
      <c r="G109" s="17"/>
    </row>
    <row r="110" spans="1:7" ht="18" customHeight="1">
      <c r="A110" s="16"/>
      <c r="B110" s="16"/>
      <c r="C110" s="25"/>
      <c r="D110" s="16"/>
      <c r="E110" s="16"/>
      <c r="F110" s="16"/>
      <c r="G110" s="17"/>
    </row>
    <row r="111" spans="1:7" ht="18" customHeight="1">
      <c r="A111" s="16"/>
      <c r="B111" s="16"/>
      <c r="C111" s="25"/>
      <c r="D111" s="16"/>
      <c r="E111" s="16"/>
      <c r="F111" s="16"/>
      <c r="G111" s="17"/>
    </row>
    <row r="112" spans="1:7" ht="18" customHeight="1">
      <c r="A112" s="16"/>
      <c r="B112" s="16"/>
      <c r="C112" s="25"/>
      <c r="D112" s="16"/>
      <c r="E112" s="16"/>
      <c r="F112" s="16"/>
      <c r="G112" s="17"/>
    </row>
    <row r="113" spans="1:7" ht="18" customHeight="1">
      <c r="A113" s="16"/>
      <c r="B113" s="16"/>
      <c r="C113" s="25"/>
      <c r="D113" s="16"/>
      <c r="E113" s="16"/>
      <c r="F113" s="16"/>
      <c r="G113" s="17"/>
    </row>
    <row r="114" spans="1:7" ht="18" customHeight="1">
      <c r="A114" s="16"/>
      <c r="B114" s="16"/>
      <c r="C114" s="25"/>
      <c r="D114" s="16"/>
      <c r="E114" s="16"/>
      <c r="F114" s="16"/>
      <c r="G114" s="17"/>
    </row>
    <row r="115" spans="1:7" ht="18" customHeight="1">
      <c r="A115" s="16"/>
      <c r="B115" s="16"/>
      <c r="C115" s="25"/>
      <c r="D115" s="16"/>
      <c r="E115" s="16"/>
      <c r="F115" s="16"/>
      <c r="G115" s="17"/>
    </row>
    <row r="116" spans="1:7" ht="18" customHeight="1">
      <c r="A116" s="16"/>
      <c r="B116" s="16"/>
      <c r="C116" s="25"/>
      <c r="D116" s="16"/>
      <c r="E116" s="16"/>
      <c r="F116" s="16"/>
      <c r="G116" s="17"/>
    </row>
    <row r="117" spans="1:7" ht="18" customHeight="1">
      <c r="A117" s="16"/>
      <c r="B117" s="16"/>
      <c r="C117" s="25"/>
      <c r="D117" s="16"/>
      <c r="E117" s="16"/>
      <c r="F117" s="16"/>
      <c r="G117" s="17"/>
    </row>
    <row r="118" spans="1:7" ht="18" customHeight="1">
      <c r="A118" s="16"/>
      <c r="B118" s="16"/>
      <c r="C118" s="25"/>
      <c r="D118" s="16"/>
      <c r="E118" s="16"/>
      <c r="F118" s="16"/>
      <c r="G118" s="17"/>
    </row>
    <row r="119" spans="1:7" ht="18" customHeight="1">
      <c r="A119" s="16"/>
      <c r="B119" s="16"/>
      <c r="C119" s="25"/>
      <c r="D119" s="16"/>
      <c r="E119" s="16"/>
      <c r="F119" s="16"/>
      <c r="G119" s="17"/>
    </row>
    <row r="120" spans="1:7" ht="18" customHeight="1">
      <c r="A120" s="16"/>
      <c r="B120" s="16"/>
      <c r="C120" s="25"/>
      <c r="D120" s="16"/>
      <c r="E120" s="16"/>
      <c r="F120" s="16"/>
      <c r="G120" s="17"/>
    </row>
    <row r="121" spans="1:7" ht="18" customHeight="1">
      <c r="A121" s="16"/>
      <c r="B121" s="16"/>
      <c r="C121" s="25"/>
      <c r="D121" s="16"/>
      <c r="E121" s="16"/>
      <c r="F121" s="16"/>
      <c r="G121" s="17"/>
    </row>
    <row r="122" spans="1:7" ht="18" customHeight="1">
      <c r="A122" s="16"/>
      <c r="B122" s="16"/>
      <c r="C122" s="25"/>
      <c r="D122" s="16"/>
      <c r="E122" s="16"/>
      <c r="F122" s="16"/>
      <c r="G122" s="17"/>
    </row>
    <row r="123" spans="1:7" ht="18" customHeight="1">
      <c r="A123" s="16"/>
      <c r="B123" s="16"/>
      <c r="C123" s="25"/>
      <c r="D123" s="16"/>
      <c r="E123" s="16"/>
      <c r="F123" s="16"/>
      <c r="G123" s="17"/>
    </row>
    <row r="124" spans="1:7" ht="18" customHeight="1">
      <c r="A124" s="16"/>
      <c r="B124" s="16"/>
      <c r="C124" s="25"/>
      <c r="D124" s="16"/>
      <c r="E124" s="16"/>
      <c r="F124" s="16"/>
      <c r="G124" s="17"/>
    </row>
    <row r="125" spans="1:7" ht="18" customHeight="1">
      <c r="A125" s="16"/>
      <c r="B125" s="16"/>
      <c r="C125" s="25"/>
      <c r="D125" s="16"/>
      <c r="E125" s="16"/>
      <c r="F125" s="16"/>
      <c r="G125" s="17"/>
    </row>
    <row r="126" spans="1:7" ht="18" customHeight="1">
      <c r="A126" s="16"/>
      <c r="B126" s="16"/>
      <c r="C126" s="25"/>
      <c r="D126" s="16"/>
      <c r="E126" s="16"/>
      <c r="F126" s="16"/>
      <c r="G126" s="17"/>
    </row>
    <row r="127" spans="1:7" ht="18" customHeight="1">
      <c r="A127" s="16"/>
      <c r="B127" s="16"/>
      <c r="C127" s="25"/>
      <c r="D127" s="16"/>
      <c r="E127" s="16"/>
      <c r="F127" s="16"/>
      <c r="G127" s="17"/>
    </row>
    <row r="128" spans="1:7" ht="18" customHeight="1">
      <c r="A128" s="16"/>
      <c r="B128" s="16"/>
      <c r="C128" s="25"/>
      <c r="D128" s="16"/>
      <c r="E128" s="16"/>
      <c r="F128" s="16"/>
      <c r="G128" s="17"/>
    </row>
    <row r="129" spans="1:7" ht="18" customHeight="1">
      <c r="A129" s="16"/>
      <c r="B129" s="16"/>
      <c r="C129" s="25"/>
      <c r="D129" s="16"/>
      <c r="E129" s="16"/>
      <c r="F129" s="16"/>
      <c r="G129" s="17"/>
    </row>
    <row r="130" spans="1:7" ht="18" customHeight="1">
      <c r="A130" s="16"/>
      <c r="B130" s="16"/>
      <c r="C130" s="25"/>
      <c r="D130" s="16"/>
      <c r="E130" s="16"/>
      <c r="F130" s="16"/>
      <c r="G130" s="17"/>
    </row>
    <row r="131" spans="1:7" ht="18" customHeight="1">
      <c r="A131" s="16"/>
      <c r="B131" s="16"/>
      <c r="C131" s="25"/>
      <c r="D131" s="16"/>
      <c r="E131" s="16"/>
      <c r="F131" s="16"/>
      <c r="G131" s="17"/>
    </row>
    <row r="132" spans="1:7" ht="18" customHeight="1">
      <c r="A132" s="16"/>
      <c r="B132" s="16"/>
      <c r="C132" s="25"/>
      <c r="D132" s="16"/>
      <c r="E132" s="16"/>
      <c r="F132" s="16"/>
      <c r="G132" s="17"/>
    </row>
    <row r="133" spans="1:7" ht="18" customHeight="1">
      <c r="A133" s="16"/>
      <c r="B133" s="16"/>
      <c r="C133" s="25"/>
      <c r="D133" s="16"/>
      <c r="E133" s="16"/>
      <c r="F133" s="16"/>
      <c r="G133" s="17"/>
    </row>
    <row r="134" spans="1:7" ht="18" customHeight="1">
      <c r="A134" s="16"/>
      <c r="B134" s="16"/>
      <c r="C134" s="25"/>
      <c r="D134" s="16"/>
      <c r="E134" s="16"/>
      <c r="F134" s="16"/>
      <c r="G134" s="17"/>
    </row>
    <row r="135" spans="1:7" ht="18" customHeight="1">
      <c r="A135" s="16"/>
      <c r="B135" s="16"/>
      <c r="C135" s="25"/>
      <c r="D135" s="16"/>
      <c r="E135" s="16"/>
      <c r="F135" s="16"/>
      <c r="G135" s="17"/>
    </row>
    <row r="136" spans="1:7" ht="18" customHeight="1">
      <c r="A136" s="16"/>
      <c r="B136" s="16"/>
      <c r="C136" s="25"/>
      <c r="D136" s="16"/>
      <c r="E136" s="16"/>
      <c r="F136" s="16"/>
      <c r="G136" s="17"/>
    </row>
    <row r="137" spans="1:7" ht="18" customHeight="1">
      <c r="A137" s="16"/>
      <c r="B137" s="16"/>
      <c r="C137" s="25"/>
      <c r="D137" s="16"/>
      <c r="E137" s="16"/>
      <c r="F137" s="16"/>
      <c r="G137" s="17"/>
    </row>
    <row r="138" spans="1:7" ht="18" customHeight="1">
      <c r="A138" s="16"/>
      <c r="B138" s="16"/>
      <c r="C138" s="25"/>
      <c r="D138" s="16"/>
      <c r="E138" s="16"/>
      <c r="F138" s="16"/>
      <c r="G138" s="17"/>
    </row>
    <row r="139" spans="1:7" ht="18" customHeight="1">
      <c r="A139" s="16"/>
      <c r="B139" s="16"/>
      <c r="C139" s="25"/>
      <c r="D139" s="16"/>
      <c r="E139" s="16"/>
      <c r="F139" s="16"/>
      <c r="G139" s="17"/>
    </row>
    <row r="140" spans="1:7" ht="18" customHeight="1">
      <c r="A140" s="16"/>
      <c r="B140" s="16"/>
      <c r="C140" s="25"/>
      <c r="D140" s="16"/>
      <c r="E140" s="16"/>
      <c r="F140" s="16"/>
      <c r="G140" s="17"/>
    </row>
    <row r="141" spans="1:7" ht="18" customHeight="1">
      <c r="A141" s="16"/>
      <c r="B141" s="16"/>
      <c r="C141" s="25"/>
      <c r="D141" s="16"/>
      <c r="E141" s="16"/>
      <c r="F141" s="16"/>
      <c r="G141" s="17"/>
    </row>
    <row r="142" spans="1:7" ht="18" customHeight="1">
      <c r="A142" s="16"/>
      <c r="B142" s="16"/>
      <c r="C142" s="25"/>
      <c r="D142" s="16"/>
      <c r="E142" s="16"/>
      <c r="F142" s="16"/>
      <c r="G142" s="17"/>
    </row>
    <row r="143" spans="1:7" ht="18" customHeight="1">
      <c r="A143" s="16"/>
      <c r="B143" s="16"/>
      <c r="C143" s="25"/>
      <c r="D143" s="16"/>
      <c r="E143" s="16"/>
      <c r="F143" s="16"/>
      <c r="G143" s="17"/>
    </row>
    <row r="144" spans="1:7" ht="18" customHeight="1">
      <c r="A144" s="16"/>
      <c r="B144" s="16"/>
      <c r="C144" s="25"/>
      <c r="D144" s="16"/>
      <c r="E144" s="16"/>
      <c r="F144" s="16"/>
      <c r="G144" s="17"/>
    </row>
    <row r="145" spans="1:7" ht="18" customHeight="1">
      <c r="A145" s="16"/>
      <c r="B145" s="16"/>
      <c r="C145" s="25"/>
      <c r="D145" s="16"/>
      <c r="E145" s="16"/>
      <c r="F145" s="16"/>
      <c r="G145" s="17"/>
    </row>
    <row r="146" spans="1:7" ht="18" customHeight="1">
      <c r="A146" s="16"/>
      <c r="B146" s="16"/>
      <c r="C146" s="25"/>
      <c r="D146" s="16"/>
      <c r="E146" s="16"/>
      <c r="F146" s="16"/>
      <c r="G146" s="17"/>
    </row>
    <row r="147" spans="1:7" ht="18" customHeight="1">
      <c r="A147" s="16"/>
      <c r="B147" s="16"/>
      <c r="C147" s="25"/>
      <c r="D147" s="16"/>
      <c r="E147" s="16"/>
      <c r="F147" s="16"/>
      <c r="G147" s="17"/>
    </row>
    <row r="148" spans="1:7" ht="18" customHeight="1">
      <c r="A148" s="16"/>
      <c r="B148" s="16"/>
      <c r="C148" s="25"/>
      <c r="D148" s="16"/>
      <c r="E148" s="16"/>
      <c r="F148" s="16"/>
      <c r="G148" s="17"/>
    </row>
    <row r="149" spans="1:7" ht="18" customHeight="1">
      <c r="A149" s="16"/>
      <c r="B149" s="16"/>
      <c r="C149" s="25"/>
      <c r="D149" s="16"/>
      <c r="E149" s="16"/>
      <c r="F149" s="16"/>
      <c r="G149" s="17"/>
    </row>
    <row r="150" spans="1:7" ht="18" customHeight="1">
      <c r="A150" s="16"/>
      <c r="B150" s="16"/>
      <c r="C150" s="25"/>
      <c r="D150" s="16"/>
      <c r="E150" s="16"/>
      <c r="F150" s="16"/>
      <c r="G150" s="17"/>
    </row>
    <row r="151" spans="1:7" ht="18" customHeight="1">
      <c r="A151" s="16"/>
      <c r="B151" s="16"/>
      <c r="C151" s="25"/>
      <c r="D151" s="16"/>
      <c r="E151" s="16"/>
      <c r="F151" s="16"/>
      <c r="G151" s="17"/>
    </row>
    <row r="152" spans="1:7" ht="18" customHeight="1">
      <c r="A152" s="16"/>
      <c r="B152" s="16"/>
      <c r="C152" s="25"/>
      <c r="D152" s="16"/>
      <c r="E152" s="16"/>
      <c r="F152" s="16"/>
      <c r="G152" s="17"/>
    </row>
    <row r="153" spans="1:7" ht="18" customHeight="1">
      <c r="A153" s="16"/>
      <c r="B153" s="16"/>
      <c r="C153" s="25"/>
      <c r="D153" s="16"/>
      <c r="E153" s="16"/>
      <c r="F153" s="16"/>
      <c r="G153" s="17"/>
    </row>
    <row r="154" spans="1:7" ht="18" customHeight="1">
      <c r="A154" s="16"/>
      <c r="B154" s="16"/>
      <c r="C154" s="25"/>
      <c r="D154" s="16"/>
      <c r="E154" s="16"/>
      <c r="F154" s="16"/>
      <c r="G154" s="17"/>
    </row>
    <row r="155" spans="1:7" ht="18" customHeight="1">
      <c r="A155" s="16"/>
      <c r="B155" s="16"/>
      <c r="C155" s="25"/>
      <c r="D155" s="16"/>
      <c r="E155" s="16"/>
      <c r="F155" s="16"/>
      <c r="G155" s="17"/>
    </row>
    <row r="156" spans="1:7" ht="18" customHeight="1">
      <c r="A156" s="16"/>
      <c r="B156" s="16"/>
      <c r="C156" s="25"/>
      <c r="D156" s="16"/>
      <c r="E156" s="16"/>
      <c r="F156" s="16"/>
      <c r="G156" s="17"/>
    </row>
    <row r="157" spans="1:7" ht="18" customHeight="1">
      <c r="A157" s="16"/>
      <c r="B157" s="16"/>
      <c r="C157" s="25"/>
      <c r="D157" s="16"/>
      <c r="E157" s="16"/>
      <c r="F157" s="16"/>
      <c r="G157" s="17"/>
    </row>
    <row r="158" spans="1:7" ht="18" customHeight="1">
      <c r="A158" s="16"/>
      <c r="B158" s="16"/>
      <c r="C158" s="25"/>
      <c r="D158" s="16"/>
      <c r="E158" s="16"/>
      <c r="F158" s="16"/>
      <c r="G158" s="17"/>
    </row>
    <row r="159" spans="1:7" ht="18" customHeight="1">
      <c r="A159" s="16"/>
      <c r="B159" s="16"/>
      <c r="C159" s="25"/>
      <c r="D159" s="16"/>
      <c r="E159" s="16"/>
      <c r="F159" s="16"/>
      <c r="G159" s="17"/>
    </row>
    <row r="160" spans="1:7" ht="18" customHeight="1">
      <c r="A160" s="16"/>
      <c r="B160" s="16"/>
      <c r="C160" s="25"/>
      <c r="D160" s="16"/>
      <c r="E160" s="16"/>
      <c r="F160" s="16"/>
      <c r="G160" s="17"/>
    </row>
    <row r="161" spans="1:7" ht="18" customHeight="1">
      <c r="A161" s="16"/>
      <c r="B161" s="16"/>
      <c r="C161" s="25"/>
      <c r="D161" s="16"/>
      <c r="E161" s="16"/>
      <c r="F161" s="16"/>
      <c r="G161" s="17"/>
    </row>
    <row r="162" spans="1:7" ht="18" customHeight="1">
      <c r="A162" s="16"/>
      <c r="B162" s="16"/>
      <c r="C162" s="25"/>
      <c r="D162" s="16"/>
      <c r="E162" s="16"/>
      <c r="F162" s="16"/>
      <c r="G162" s="17"/>
    </row>
    <row r="163" spans="1:7" ht="18" customHeight="1">
      <c r="A163" s="16"/>
      <c r="B163" s="16"/>
      <c r="C163" s="25"/>
      <c r="D163" s="16"/>
      <c r="E163" s="16"/>
      <c r="F163" s="16"/>
      <c r="G163" s="17"/>
    </row>
    <row r="164" spans="1:7" ht="18" customHeight="1">
      <c r="A164" s="16"/>
      <c r="B164" s="16"/>
      <c r="C164" s="25"/>
      <c r="D164" s="16"/>
      <c r="E164" s="16"/>
      <c r="F164" s="16"/>
      <c r="G164" s="17"/>
    </row>
    <row r="165" spans="1:7" ht="18" customHeight="1">
      <c r="A165" s="16"/>
      <c r="B165" s="16"/>
      <c r="C165" s="25"/>
      <c r="D165" s="16"/>
      <c r="E165" s="16"/>
      <c r="F165" s="16"/>
      <c r="G165" s="17"/>
    </row>
    <row r="166" spans="1:7" ht="18" customHeight="1">
      <c r="A166" s="16"/>
      <c r="B166" s="16"/>
      <c r="C166" s="25"/>
      <c r="D166" s="16"/>
      <c r="E166" s="16"/>
      <c r="F166" s="16"/>
      <c r="G166" s="17"/>
    </row>
    <row r="167" spans="1:7" ht="18" customHeight="1">
      <c r="A167" s="16"/>
      <c r="B167" s="16"/>
      <c r="C167" s="25"/>
      <c r="D167" s="16"/>
      <c r="E167" s="16"/>
      <c r="F167" s="16"/>
      <c r="G167" s="17"/>
    </row>
    <row r="168" spans="1:7" ht="18" customHeight="1">
      <c r="A168" s="16"/>
      <c r="B168" s="16"/>
      <c r="C168" s="25"/>
      <c r="D168" s="16"/>
      <c r="E168" s="16"/>
      <c r="F168" s="16"/>
      <c r="G168" s="17"/>
    </row>
    <row r="169" spans="1:7" ht="18" customHeight="1">
      <c r="A169" s="16"/>
      <c r="B169" s="16"/>
      <c r="C169" s="25"/>
      <c r="D169" s="16"/>
      <c r="E169" s="16"/>
      <c r="F169" s="16"/>
      <c r="G169" s="17"/>
    </row>
    <row r="170" spans="1:7" ht="18" customHeight="1">
      <c r="A170" s="16"/>
      <c r="B170" s="16"/>
      <c r="C170" s="25"/>
      <c r="D170" s="16"/>
      <c r="E170" s="16"/>
      <c r="F170" s="16"/>
      <c r="G170" s="17"/>
    </row>
    <row r="171" spans="1:7" ht="18" customHeight="1">
      <c r="A171" s="16"/>
      <c r="B171" s="16"/>
      <c r="C171" s="25"/>
      <c r="D171" s="16"/>
      <c r="E171" s="16"/>
      <c r="F171" s="16"/>
      <c r="G171" s="17"/>
    </row>
    <row r="172" spans="1:7" ht="18" customHeight="1">
      <c r="A172" s="16"/>
      <c r="B172" s="16"/>
      <c r="C172" s="25"/>
      <c r="D172" s="16"/>
      <c r="E172" s="16"/>
      <c r="F172" s="16"/>
      <c r="G172" s="17"/>
    </row>
    <row r="173" spans="1:7" ht="18" customHeight="1">
      <c r="A173" s="16"/>
      <c r="B173" s="16"/>
      <c r="C173" s="25"/>
      <c r="D173" s="16"/>
      <c r="E173" s="16"/>
      <c r="F173" s="16"/>
      <c r="G173" s="17"/>
    </row>
    <row r="174" spans="1:7" ht="18" customHeight="1">
      <c r="A174" s="16"/>
      <c r="B174" s="16"/>
      <c r="C174" s="25"/>
      <c r="D174" s="16"/>
      <c r="E174" s="16"/>
      <c r="F174" s="16"/>
      <c r="G174" s="17"/>
    </row>
    <row r="175" spans="1:7" ht="18" customHeight="1">
      <c r="A175" s="16"/>
      <c r="B175" s="16"/>
      <c r="C175" s="25"/>
      <c r="D175" s="16"/>
      <c r="E175" s="16"/>
      <c r="F175" s="16"/>
      <c r="G175" s="17"/>
    </row>
    <row r="176" spans="1:7" ht="18" customHeight="1">
      <c r="A176" s="16"/>
      <c r="B176" s="16"/>
      <c r="C176" s="25"/>
      <c r="D176" s="16"/>
      <c r="E176" s="16"/>
      <c r="F176" s="16"/>
      <c r="G176" s="17"/>
    </row>
    <row r="177" spans="1:7" ht="18" customHeight="1">
      <c r="A177" s="16"/>
      <c r="B177" s="16"/>
      <c r="C177" s="25"/>
      <c r="D177" s="16"/>
      <c r="E177" s="16"/>
      <c r="F177" s="16"/>
      <c r="G177" s="17"/>
    </row>
    <row r="178" spans="1:7" ht="18" customHeight="1">
      <c r="A178" s="16"/>
      <c r="B178" s="16"/>
      <c r="C178" s="25"/>
      <c r="D178" s="16"/>
      <c r="E178" s="16"/>
      <c r="F178" s="16"/>
      <c r="G178" s="17"/>
    </row>
    <row r="179" spans="1:7" ht="18" customHeight="1">
      <c r="A179" s="16"/>
      <c r="B179" s="16"/>
      <c r="C179" s="25"/>
      <c r="D179" s="16"/>
      <c r="E179" s="16"/>
      <c r="F179" s="16"/>
      <c r="G179" s="17"/>
    </row>
    <row r="180" spans="1:7" ht="18" customHeight="1">
      <c r="A180" s="16"/>
      <c r="B180" s="16"/>
      <c r="C180" s="25"/>
      <c r="D180" s="16"/>
      <c r="E180" s="16"/>
      <c r="F180" s="16"/>
      <c r="G180" s="17"/>
    </row>
    <row r="181" spans="1:7" ht="18" customHeight="1">
      <c r="A181" s="16"/>
      <c r="B181" s="16"/>
      <c r="C181" s="25"/>
      <c r="D181" s="16"/>
      <c r="E181" s="16"/>
      <c r="F181" s="16"/>
      <c r="G181" s="17"/>
    </row>
    <row r="182" spans="1:7" ht="18" customHeight="1">
      <c r="A182" s="16"/>
      <c r="B182" s="16"/>
      <c r="C182" s="25"/>
      <c r="D182" s="16"/>
      <c r="E182" s="16"/>
      <c r="F182" s="16"/>
      <c r="G182" s="17"/>
    </row>
    <row r="183" spans="1:7" ht="18" customHeight="1">
      <c r="A183" s="16"/>
      <c r="B183" s="16"/>
      <c r="C183" s="25"/>
      <c r="D183" s="16"/>
      <c r="E183" s="16"/>
      <c r="F183" s="16"/>
      <c r="G183" s="17"/>
    </row>
    <row r="184" spans="1:7" ht="18" customHeight="1">
      <c r="A184" s="16"/>
      <c r="B184" s="16"/>
      <c r="C184" s="25"/>
      <c r="D184" s="16"/>
      <c r="E184" s="16"/>
      <c r="F184" s="16"/>
      <c r="G184" s="17"/>
    </row>
    <row r="185" spans="1:7" ht="18" customHeight="1">
      <c r="A185" s="16"/>
      <c r="B185" s="16"/>
      <c r="C185" s="25"/>
      <c r="D185" s="16"/>
      <c r="E185" s="16"/>
      <c r="F185" s="16"/>
      <c r="G185" s="17"/>
    </row>
    <row r="186" spans="1:7" ht="18" customHeight="1">
      <c r="A186" s="16"/>
      <c r="B186" s="16"/>
      <c r="C186" s="25"/>
      <c r="D186" s="16"/>
      <c r="E186" s="16"/>
      <c r="F186" s="16"/>
      <c r="G186" s="17"/>
    </row>
    <row r="187" spans="1:7" ht="18" customHeight="1">
      <c r="A187" s="16"/>
      <c r="B187" s="16"/>
      <c r="C187" s="25"/>
      <c r="D187" s="16"/>
      <c r="E187" s="16"/>
      <c r="F187" s="16"/>
      <c r="G187" s="17"/>
    </row>
    <row r="188" spans="1:7" ht="18" customHeight="1">
      <c r="A188" s="16"/>
      <c r="B188" s="16"/>
      <c r="C188" s="25"/>
      <c r="D188" s="16"/>
      <c r="E188" s="16"/>
      <c r="F188" s="16"/>
      <c r="G188" s="17"/>
    </row>
    <row r="189" spans="1:7" ht="18" customHeight="1">
      <c r="A189" s="16"/>
      <c r="B189" s="16"/>
      <c r="C189" s="25"/>
      <c r="D189" s="16"/>
      <c r="E189" s="16"/>
      <c r="F189" s="16"/>
      <c r="G189" s="17"/>
    </row>
    <row r="190" spans="1:7" ht="18" customHeight="1">
      <c r="A190" s="16"/>
      <c r="B190" s="16"/>
      <c r="C190" s="25"/>
      <c r="D190" s="16"/>
      <c r="E190" s="16"/>
      <c r="F190" s="16"/>
      <c r="G190" s="17"/>
    </row>
    <row r="191" spans="1:7" ht="18" customHeight="1">
      <c r="A191" s="16"/>
      <c r="B191" s="16"/>
      <c r="C191" s="25"/>
      <c r="D191" s="16"/>
      <c r="E191" s="16"/>
      <c r="F191" s="16"/>
      <c r="G191" s="17"/>
    </row>
    <row r="192" spans="1:7" ht="18" customHeight="1">
      <c r="A192" s="16"/>
      <c r="B192" s="16"/>
      <c r="C192" s="25"/>
      <c r="D192" s="16"/>
      <c r="E192" s="16"/>
      <c r="F192" s="16"/>
      <c r="G192" s="17"/>
    </row>
    <row r="193" spans="1:7" ht="18" customHeight="1">
      <c r="A193" s="16"/>
      <c r="B193" s="16"/>
      <c r="C193" s="25"/>
      <c r="D193" s="16"/>
      <c r="E193" s="16"/>
      <c r="F193" s="16"/>
      <c r="G193" s="17"/>
    </row>
    <row r="194" spans="1:7" ht="18" customHeight="1">
      <c r="A194" s="16"/>
      <c r="B194" s="16"/>
      <c r="C194" s="25"/>
      <c r="D194" s="16"/>
      <c r="E194" s="16"/>
      <c r="F194" s="16"/>
      <c r="G194" s="17"/>
    </row>
    <row r="195" spans="1:7" ht="18" customHeight="1">
      <c r="A195" s="16"/>
      <c r="B195" s="16"/>
      <c r="C195" s="25"/>
      <c r="D195" s="16"/>
      <c r="E195" s="16"/>
      <c r="F195" s="16"/>
      <c r="G195" s="17"/>
    </row>
    <row r="196" spans="1:7" ht="18" customHeight="1">
      <c r="A196" s="16"/>
      <c r="B196" s="16"/>
      <c r="C196" s="25"/>
      <c r="D196" s="16"/>
      <c r="E196" s="16"/>
      <c r="F196" s="16"/>
      <c r="G196" s="17"/>
    </row>
    <row r="197" spans="1:7" ht="18" customHeight="1">
      <c r="A197" s="16"/>
      <c r="B197" s="16"/>
      <c r="C197" s="25"/>
      <c r="D197" s="16"/>
      <c r="E197" s="16"/>
      <c r="F197" s="16"/>
      <c r="G197" s="17"/>
    </row>
    <row r="198" spans="1:7" ht="18" customHeight="1">
      <c r="A198" s="16"/>
      <c r="B198" s="16"/>
      <c r="C198" s="25"/>
      <c r="D198" s="16"/>
      <c r="E198" s="16"/>
      <c r="F198" s="16"/>
      <c r="G198" s="17"/>
    </row>
    <row r="199" spans="1:7" ht="18" customHeight="1">
      <c r="A199" s="16"/>
      <c r="B199" s="16"/>
      <c r="C199" s="25"/>
      <c r="D199" s="16"/>
      <c r="E199" s="16"/>
      <c r="F199" s="16"/>
      <c r="G199" s="17"/>
    </row>
    <row r="200" spans="1:7" ht="18" customHeight="1">
      <c r="A200" s="16"/>
      <c r="B200" s="16"/>
      <c r="C200" s="25"/>
      <c r="D200" s="16"/>
      <c r="E200" s="16"/>
      <c r="F200" s="16"/>
      <c r="G200" s="17"/>
    </row>
    <row r="201" spans="1:7" ht="18" customHeight="1">
      <c r="A201" s="16"/>
      <c r="B201" s="16"/>
      <c r="C201" s="25"/>
      <c r="D201" s="16"/>
      <c r="E201" s="16"/>
      <c r="F201" s="16"/>
      <c r="G201" s="17"/>
    </row>
    <row r="202" spans="1:7" ht="18" customHeight="1">
      <c r="A202" s="16"/>
      <c r="B202" s="16"/>
      <c r="C202" s="25"/>
      <c r="D202" s="16"/>
      <c r="E202" s="16"/>
      <c r="F202" s="16"/>
      <c r="G202" s="17"/>
    </row>
    <row r="203" spans="1:7" ht="18" customHeight="1">
      <c r="A203" s="16"/>
      <c r="B203" s="16"/>
      <c r="C203" s="25"/>
      <c r="D203" s="16"/>
      <c r="E203" s="16"/>
      <c r="F203" s="16"/>
      <c r="G203" s="17"/>
    </row>
    <row r="204" spans="1:7" ht="18" customHeight="1">
      <c r="A204" s="16"/>
      <c r="B204" s="16"/>
      <c r="C204" s="25"/>
      <c r="D204" s="16"/>
      <c r="E204" s="16"/>
      <c r="F204" s="16"/>
      <c r="G204" s="17"/>
    </row>
    <row r="205" spans="1:7" ht="18" customHeight="1">
      <c r="A205" s="16"/>
      <c r="B205" s="16"/>
      <c r="C205" s="25"/>
      <c r="D205" s="16"/>
      <c r="E205" s="16"/>
      <c r="F205" s="16"/>
      <c r="G205" s="17"/>
    </row>
    <row r="206" spans="1:7" ht="18" customHeight="1">
      <c r="A206" s="16"/>
      <c r="B206" s="16"/>
      <c r="C206" s="25"/>
      <c r="D206" s="16"/>
      <c r="E206" s="16"/>
      <c r="F206" s="16"/>
      <c r="G206" s="17"/>
    </row>
    <row r="207" spans="1:7" ht="18" customHeight="1">
      <c r="A207" s="16"/>
      <c r="B207" s="16"/>
      <c r="C207" s="25"/>
      <c r="D207" s="16"/>
      <c r="E207" s="16"/>
      <c r="F207" s="16"/>
      <c r="G207" s="17"/>
    </row>
    <row r="208" spans="1:7" ht="18" customHeight="1">
      <c r="A208" s="16"/>
      <c r="B208" s="16"/>
      <c r="C208" s="25"/>
      <c r="D208" s="16"/>
      <c r="E208" s="16"/>
      <c r="F208" s="16"/>
      <c r="G208" s="17"/>
    </row>
    <row r="209" spans="1:7" ht="18" customHeight="1">
      <c r="A209" s="16"/>
      <c r="B209" s="16"/>
      <c r="C209" s="25"/>
      <c r="D209" s="16"/>
      <c r="E209" s="16"/>
      <c r="F209" s="16"/>
      <c r="G209" s="17"/>
    </row>
    <row r="210" spans="1:7" ht="18" customHeight="1">
      <c r="A210" s="16"/>
      <c r="B210" s="16"/>
      <c r="C210" s="25"/>
      <c r="D210" s="16"/>
      <c r="E210" s="16"/>
      <c r="F210" s="16"/>
      <c r="G210" s="17"/>
    </row>
    <row r="211" spans="1:7" ht="18" customHeight="1">
      <c r="A211" s="16"/>
      <c r="B211" s="16"/>
      <c r="C211" s="25"/>
      <c r="D211" s="16"/>
      <c r="E211" s="16"/>
      <c r="F211" s="16"/>
      <c r="G211" s="17"/>
    </row>
    <row r="212" spans="1:7" ht="18" customHeight="1">
      <c r="A212" s="16"/>
      <c r="B212" s="16"/>
      <c r="C212" s="25"/>
      <c r="D212" s="16"/>
      <c r="E212" s="16"/>
      <c r="F212" s="16"/>
      <c r="G212" s="17"/>
    </row>
    <row r="213" spans="1:7" ht="18" customHeight="1">
      <c r="A213" s="16"/>
      <c r="B213" s="16"/>
      <c r="C213" s="25"/>
      <c r="D213" s="16"/>
      <c r="E213" s="16"/>
      <c r="F213" s="16"/>
      <c r="G213" s="17"/>
    </row>
    <row r="214" spans="1:7" ht="18" customHeight="1">
      <c r="A214" s="16"/>
      <c r="B214" s="16"/>
      <c r="C214" s="25"/>
      <c r="D214" s="16"/>
      <c r="E214" s="16"/>
      <c r="F214" s="16"/>
      <c r="G214" s="17"/>
    </row>
    <row r="215" spans="1:7" ht="18" customHeight="1">
      <c r="A215" s="16"/>
      <c r="B215" s="16"/>
      <c r="C215" s="25"/>
      <c r="D215" s="16"/>
      <c r="E215" s="16"/>
      <c r="F215" s="16"/>
      <c r="G215" s="17"/>
    </row>
    <row r="216" spans="1:7" ht="18" customHeight="1">
      <c r="A216" s="16"/>
      <c r="B216" s="16"/>
      <c r="C216" s="25"/>
      <c r="D216" s="16"/>
      <c r="E216" s="16"/>
      <c r="F216" s="16"/>
      <c r="G216" s="17"/>
    </row>
    <row r="217" spans="1:7" ht="18" customHeight="1">
      <c r="A217" s="16"/>
      <c r="B217" s="16"/>
      <c r="C217" s="25"/>
      <c r="D217" s="16"/>
      <c r="E217" s="16"/>
      <c r="F217" s="16"/>
      <c r="G217" s="17"/>
    </row>
    <row r="218" spans="1:7" ht="18" customHeight="1">
      <c r="A218" s="16"/>
      <c r="B218" s="16"/>
      <c r="C218" s="25"/>
      <c r="D218" s="16"/>
      <c r="E218" s="16"/>
      <c r="F218" s="16"/>
      <c r="G218" s="17"/>
    </row>
    <row r="219" spans="1:7" ht="18" customHeight="1">
      <c r="A219" s="16"/>
      <c r="B219" s="16"/>
      <c r="C219" s="25"/>
      <c r="D219" s="16"/>
      <c r="E219" s="16"/>
      <c r="F219" s="16"/>
      <c r="G219" s="17"/>
    </row>
    <row r="220" spans="1:7" ht="18" customHeight="1">
      <c r="A220" s="16"/>
      <c r="B220" s="16"/>
      <c r="C220" s="25"/>
      <c r="D220" s="16"/>
      <c r="E220" s="16"/>
      <c r="F220" s="16"/>
      <c r="G220" s="17"/>
    </row>
    <row r="221" spans="1:7" ht="18" customHeight="1">
      <c r="A221" s="16"/>
      <c r="B221" s="16"/>
      <c r="C221" s="25"/>
      <c r="D221" s="16"/>
      <c r="E221" s="16"/>
      <c r="F221" s="16"/>
      <c r="G221" s="17"/>
    </row>
    <row r="222" spans="1:7" ht="18" customHeight="1">
      <c r="A222" s="16"/>
      <c r="B222" s="16"/>
      <c r="C222" s="25"/>
      <c r="D222" s="16"/>
      <c r="E222" s="16"/>
      <c r="F222" s="16"/>
      <c r="G222" s="17"/>
    </row>
    <row r="223" spans="1:7" ht="18" customHeight="1">
      <c r="A223" s="16"/>
      <c r="B223" s="16"/>
      <c r="C223" s="25"/>
      <c r="D223" s="16"/>
      <c r="E223" s="16"/>
      <c r="F223" s="16"/>
      <c r="G223" s="17"/>
    </row>
    <row r="224" spans="1:7" ht="18" customHeight="1">
      <c r="A224" s="16"/>
      <c r="B224" s="16"/>
      <c r="C224" s="25"/>
      <c r="D224" s="16"/>
      <c r="E224" s="16"/>
      <c r="F224" s="16"/>
      <c r="G224" s="17"/>
    </row>
    <row r="225" spans="1:7" ht="18" customHeight="1">
      <c r="A225" s="16"/>
      <c r="B225" s="16"/>
      <c r="C225" s="25"/>
      <c r="D225" s="16"/>
      <c r="E225" s="16"/>
      <c r="F225" s="16"/>
      <c r="G225" s="17"/>
    </row>
    <row r="226" spans="1:7" ht="18" customHeight="1">
      <c r="A226" s="16"/>
      <c r="B226" s="16"/>
      <c r="C226" s="25"/>
      <c r="D226" s="16"/>
      <c r="E226" s="16"/>
      <c r="F226" s="16"/>
      <c r="G226" s="17"/>
    </row>
    <row r="227" spans="1:7" ht="18" customHeight="1">
      <c r="A227" s="16"/>
      <c r="B227" s="16"/>
      <c r="C227" s="25"/>
      <c r="D227" s="16"/>
      <c r="E227" s="16"/>
      <c r="F227" s="16"/>
      <c r="G227" s="17"/>
    </row>
    <row r="228" spans="1:7" ht="18" customHeight="1">
      <c r="A228" s="16"/>
      <c r="B228" s="16"/>
      <c r="C228" s="25"/>
      <c r="D228" s="16"/>
      <c r="E228" s="16"/>
      <c r="F228" s="16"/>
      <c r="G228" s="17"/>
    </row>
    <row r="229" spans="1:7" ht="18" customHeight="1">
      <c r="A229" s="16"/>
      <c r="B229" s="16"/>
      <c r="C229" s="25"/>
      <c r="D229" s="16"/>
      <c r="E229" s="16"/>
      <c r="F229" s="16"/>
      <c r="G229" s="17"/>
    </row>
    <row r="230" spans="1:7" ht="18" customHeight="1">
      <c r="A230" s="16"/>
      <c r="B230" s="16"/>
      <c r="C230" s="25"/>
      <c r="D230" s="16"/>
      <c r="E230" s="16"/>
      <c r="F230" s="16"/>
      <c r="G230" s="17"/>
    </row>
    <row r="231" spans="1:7" ht="18" customHeight="1">
      <c r="A231" s="16"/>
      <c r="B231" s="16"/>
      <c r="C231" s="25"/>
      <c r="D231" s="16"/>
      <c r="E231" s="16"/>
      <c r="F231" s="16"/>
      <c r="G231" s="17"/>
    </row>
    <row r="232" spans="1:7" ht="18" customHeight="1">
      <c r="A232" s="16"/>
      <c r="B232" s="16"/>
      <c r="C232" s="25"/>
      <c r="D232" s="16"/>
      <c r="E232" s="16"/>
      <c r="F232" s="16"/>
      <c r="G232" s="17"/>
    </row>
    <row r="233" spans="1:7" ht="18" customHeight="1">
      <c r="A233" s="16"/>
      <c r="B233" s="16"/>
      <c r="C233" s="25"/>
      <c r="D233" s="16"/>
      <c r="E233" s="16"/>
      <c r="F233" s="16"/>
      <c r="G233" s="17"/>
    </row>
    <row r="234" spans="1:7" ht="18" customHeight="1">
      <c r="A234" s="16"/>
      <c r="B234" s="16"/>
      <c r="C234" s="25"/>
      <c r="D234" s="16"/>
      <c r="E234" s="16"/>
      <c r="F234" s="16"/>
      <c r="G234" s="17"/>
    </row>
    <row r="235" spans="1:7" ht="18" customHeight="1">
      <c r="A235" s="16"/>
      <c r="B235" s="16"/>
      <c r="C235" s="25"/>
      <c r="D235" s="16"/>
      <c r="E235" s="16"/>
      <c r="F235" s="16"/>
      <c r="G235" s="17"/>
    </row>
    <row r="236" spans="1:7" ht="18" customHeight="1">
      <c r="A236" s="16"/>
      <c r="B236" s="16"/>
      <c r="C236" s="25"/>
      <c r="D236" s="16"/>
      <c r="E236" s="16"/>
      <c r="F236" s="16"/>
      <c r="G236" s="17"/>
    </row>
    <row r="237" spans="1:7" ht="18" customHeight="1">
      <c r="A237" s="16"/>
      <c r="B237" s="16"/>
      <c r="C237" s="25"/>
      <c r="D237" s="16"/>
      <c r="E237" s="16"/>
      <c r="F237" s="16"/>
      <c r="G237" s="17"/>
    </row>
    <row r="238" spans="1:7" ht="18" customHeight="1">
      <c r="A238" s="16"/>
      <c r="B238" s="16"/>
      <c r="C238" s="25"/>
      <c r="D238" s="16"/>
      <c r="E238" s="16"/>
      <c r="F238" s="16"/>
      <c r="G238" s="17"/>
    </row>
    <row r="239" spans="1:7" ht="18" customHeight="1">
      <c r="A239" s="16"/>
      <c r="B239" s="16"/>
      <c r="C239" s="25"/>
      <c r="D239" s="16"/>
      <c r="E239" s="16"/>
      <c r="F239" s="16"/>
      <c r="G239" s="17"/>
    </row>
    <row r="240" spans="1:7" ht="18" customHeight="1">
      <c r="A240" s="16"/>
      <c r="B240" s="16"/>
      <c r="C240" s="25"/>
      <c r="D240" s="16"/>
      <c r="E240" s="16"/>
      <c r="F240" s="16"/>
      <c r="G240" s="17"/>
    </row>
    <row r="241" spans="1:7" ht="18" customHeight="1">
      <c r="A241" s="16"/>
      <c r="B241" s="16"/>
      <c r="C241" s="25"/>
      <c r="D241" s="16"/>
      <c r="E241" s="16"/>
      <c r="F241" s="16"/>
      <c r="G241" s="17"/>
    </row>
    <row r="242" spans="1:7" ht="18" customHeight="1">
      <c r="A242" s="16"/>
      <c r="B242" s="16"/>
      <c r="C242" s="25"/>
      <c r="D242" s="16"/>
      <c r="E242" s="16"/>
      <c r="F242" s="16"/>
      <c r="G242" s="17"/>
    </row>
    <row r="243" spans="1:7" ht="18" customHeight="1">
      <c r="A243" s="16"/>
      <c r="B243" s="16"/>
      <c r="C243" s="25"/>
      <c r="D243" s="16"/>
      <c r="E243" s="16"/>
      <c r="F243" s="16"/>
      <c r="G243" s="17"/>
    </row>
    <row r="244" spans="1:7" ht="18" customHeight="1">
      <c r="A244" s="16"/>
      <c r="B244" s="16"/>
      <c r="C244" s="25"/>
      <c r="D244" s="16"/>
      <c r="E244" s="16"/>
      <c r="F244" s="16"/>
      <c r="G244" s="17"/>
    </row>
    <row r="245" spans="1:7" ht="18" customHeight="1">
      <c r="A245" s="16"/>
      <c r="B245" s="16"/>
      <c r="C245" s="25"/>
      <c r="D245" s="16"/>
      <c r="E245" s="16"/>
      <c r="F245" s="16"/>
      <c r="G245" s="17"/>
    </row>
    <row r="246" spans="1:7" ht="18" customHeight="1">
      <c r="A246" s="16"/>
      <c r="B246" s="16"/>
      <c r="C246" s="25"/>
      <c r="D246" s="16"/>
      <c r="E246" s="16"/>
      <c r="F246" s="16"/>
      <c r="G246" s="17"/>
    </row>
    <row r="247" spans="1:7" ht="18" customHeight="1">
      <c r="A247" s="16"/>
      <c r="B247" s="16"/>
      <c r="C247" s="25"/>
      <c r="D247" s="16"/>
      <c r="E247" s="16"/>
      <c r="F247" s="16"/>
      <c r="G247" s="17"/>
    </row>
    <row r="248" spans="1:7" ht="18" customHeight="1">
      <c r="A248" s="16"/>
      <c r="B248" s="16"/>
      <c r="C248" s="25"/>
      <c r="D248" s="16"/>
      <c r="E248" s="16"/>
      <c r="F248" s="16"/>
      <c r="G248" s="17"/>
    </row>
    <row r="249" spans="1:7" ht="18" customHeight="1">
      <c r="A249" s="16"/>
      <c r="B249" s="16"/>
      <c r="C249" s="25"/>
      <c r="D249" s="16"/>
      <c r="E249" s="16"/>
      <c r="F249" s="16"/>
      <c r="G249" s="17"/>
    </row>
    <row r="250" spans="1:7" ht="18" customHeight="1">
      <c r="A250" s="16"/>
      <c r="B250" s="16"/>
      <c r="C250" s="25"/>
      <c r="D250" s="16"/>
      <c r="E250" s="16"/>
      <c r="F250" s="16"/>
      <c r="G250" s="17"/>
    </row>
    <row r="251" spans="1:7" ht="18" customHeight="1">
      <c r="A251" s="16"/>
      <c r="B251" s="16"/>
      <c r="C251" s="25"/>
      <c r="D251" s="16"/>
      <c r="E251" s="16"/>
      <c r="F251" s="16"/>
      <c r="G251" s="17"/>
    </row>
    <row r="252" spans="1:7" ht="18" customHeight="1">
      <c r="A252" s="16"/>
      <c r="B252" s="16"/>
      <c r="C252" s="25"/>
      <c r="D252" s="16"/>
      <c r="E252" s="16"/>
      <c r="F252" s="16"/>
      <c r="G252" s="17"/>
    </row>
    <row r="253" spans="1:7" ht="18" customHeight="1">
      <c r="A253" s="16"/>
      <c r="B253" s="16"/>
      <c r="C253" s="25"/>
      <c r="D253" s="16"/>
      <c r="E253" s="16"/>
      <c r="F253" s="16"/>
      <c r="G253" s="17"/>
    </row>
    <row r="254" spans="1:7" ht="18" customHeight="1">
      <c r="A254" s="16"/>
      <c r="B254" s="16"/>
      <c r="C254" s="25"/>
      <c r="D254" s="16"/>
      <c r="E254" s="16"/>
      <c r="F254" s="16"/>
      <c r="G254" s="17"/>
    </row>
    <row r="255" spans="1:7" ht="18" customHeight="1">
      <c r="A255" s="16"/>
      <c r="B255" s="16"/>
      <c r="C255" s="25"/>
      <c r="D255" s="16"/>
      <c r="E255" s="16"/>
      <c r="F255" s="16"/>
      <c r="G255" s="17"/>
    </row>
    <row r="256" spans="1:7" ht="18" customHeight="1">
      <c r="A256" s="16"/>
      <c r="B256" s="16"/>
      <c r="C256" s="25"/>
      <c r="D256" s="16"/>
      <c r="E256" s="16"/>
      <c r="F256" s="16"/>
      <c r="G256" s="17"/>
    </row>
    <row r="257" spans="1:7" ht="18" customHeight="1">
      <c r="A257" s="16"/>
      <c r="B257" s="16"/>
      <c r="C257" s="25"/>
      <c r="D257" s="16"/>
      <c r="E257" s="16"/>
      <c r="F257" s="16"/>
      <c r="G257" s="17"/>
    </row>
    <row r="258" spans="1:7" ht="18" customHeight="1">
      <c r="A258" s="16"/>
      <c r="B258" s="16"/>
      <c r="C258" s="25"/>
      <c r="D258" s="16"/>
      <c r="E258" s="16"/>
      <c r="F258" s="16"/>
      <c r="G258" s="17"/>
    </row>
    <row r="259" spans="1:7" ht="18" customHeight="1">
      <c r="A259" s="16"/>
      <c r="B259" s="16"/>
      <c r="C259" s="25"/>
      <c r="D259" s="16"/>
      <c r="E259" s="16"/>
      <c r="F259" s="16"/>
      <c r="G259" s="17"/>
    </row>
    <row r="260" spans="1:7" ht="18" customHeight="1">
      <c r="A260" s="16"/>
      <c r="B260" s="16"/>
      <c r="C260" s="25"/>
      <c r="D260" s="16"/>
      <c r="E260" s="16"/>
      <c r="F260" s="16"/>
      <c r="G260" s="17"/>
    </row>
    <row r="261" spans="1:7" ht="18" customHeight="1">
      <c r="A261" s="16"/>
      <c r="B261" s="16"/>
      <c r="C261" s="25"/>
      <c r="D261" s="16"/>
      <c r="E261" s="16"/>
      <c r="F261" s="16"/>
      <c r="G261" s="17"/>
    </row>
    <row r="262" spans="1:7" ht="18" customHeight="1">
      <c r="A262" s="16"/>
      <c r="B262" s="16"/>
      <c r="C262" s="25"/>
      <c r="D262" s="16"/>
      <c r="E262" s="16"/>
      <c r="F262" s="16"/>
      <c r="G262" s="17"/>
    </row>
    <row r="263" spans="1:7" ht="18" customHeight="1">
      <c r="A263" s="16"/>
      <c r="B263" s="16"/>
      <c r="C263" s="25"/>
      <c r="D263" s="16"/>
      <c r="E263" s="16"/>
      <c r="F263" s="16"/>
      <c r="G263" s="17"/>
    </row>
    <row r="264" spans="1:7" ht="18" customHeight="1">
      <c r="A264" s="16"/>
      <c r="B264" s="16"/>
      <c r="C264" s="25"/>
      <c r="D264" s="16"/>
      <c r="E264" s="16"/>
      <c r="F264" s="16"/>
      <c r="G264" s="17"/>
    </row>
    <row r="265" spans="1:7" ht="18" customHeight="1">
      <c r="A265" s="16"/>
      <c r="B265" s="16"/>
      <c r="C265" s="25"/>
      <c r="D265" s="16"/>
      <c r="E265" s="16"/>
      <c r="F265" s="16"/>
      <c r="G265" s="17"/>
    </row>
    <row r="266" spans="1:7" ht="18" customHeight="1">
      <c r="A266" s="16"/>
      <c r="B266" s="16"/>
      <c r="C266" s="25"/>
      <c r="D266" s="16"/>
      <c r="E266" s="16"/>
      <c r="F266" s="16"/>
      <c r="G266" s="17"/>
    </row>
    <row r="267" spans="1:7" ht="18" customHeight="1">
      <c r="A267" s="16"/>
      <c r="B267" s="16"/>
      <c r="C267" s="25"/>
      <c r="D267" s="16"/>
      <c r="E267" s="16"/>
      <c r="F267" s="16"/>
      <c r="G267" s="17"/>
    </row>
    <row r="268" spans="1:7" ht="18" customHeight="1">
      <c r="A268" s="16"/>
      <c r="B268" s="16"/>
      <c r="C268" s="25"/>
      <c r="D268" s="16"/>
      <c r="E268" s="16"/>
      <c r="F268" s="16"/>
      <c r="G268" s="17"/>
    </row>
    <row r="269" spans="1:7" ht="18" customHeight="1">
      <c r="A269" s="16"/>
      <c r="B269" s="16"/>
      <c r="C269" s="25"/>
      <c r="D269" s="16"/>
      <c r="E269" s="16"/>
      <c r="F269" s="16"/>
      <c r="G269" s="17"/>
    </row>
    <row r="270" spans="1:7" ht="18" customHeight="1">
      <c r="A270" s="16"/>
      <c r="B270" s="16"/>
      <c r="C270" s="25"/>
      <c r="D270" s="16"/>
      <c r="E270" s="16"/>
      <c r="F270" s="16"/>
      <c r="G270" s="17"/>
    </row>
    <row r="271" spans="1:7" ht="18" customHeight="1">
      <c r="A271" s="16"/>
      <c r="B271" s="16"/>
      <c r="C271" s="25"/>
      <c r="D271" s="16"/>
      <c r="E271" s="16"/>
      <c r="F271" s="16"/>
      <c r="G271" s="17"/>
    </row>
    <row r="272" spans="1:7" ht="18" customHeight="1">
      <c r="A272" s="16"/>
      <c r="B272" s="16"/>
      <c r="C272" s="25"/>
      <c r="D272" s="16"/>
      <c r="E272" s="16"/>
      <c r="F272" s="16"/>
      <c r="G272" s="17"/>
    </row>
    <row r="273" spans="1:7" ht="18" customHeight="1">
      <c r="A273" s="16"/>
      <c r="B273" s="16"/>
      <c r="C273" s="25"/>
      <c r="D273" s="16"/>
      <c r="E273" s="16"/>
      <c r="F273" s="16"/>
      <c r="G273" s="17"/>
    </row>
    <row r="274" spans="1:7" ht="18" customHeight="1">
      <c r="A274" s="16"/>
      <c r="B274" s="16"/>
      <c r="C274" s="25"/>
      <c r="D274" s="16"/>
      <c r="E274" s="16"/>
      <c r="F274" s="16"/>
      <c r="G274" s="17"/>
    </row>
    <row r="275" spans="1:7" ht="18" customHeight="1">
      <c r="A275" s="16"/>
      <c r="B275" s="16"/>
      <c r="C275" s="25"/>
      <c r="D275" s="16"/>
      <c r="E275" s="16"/>
      <c r="F275" s="16"/>
      <c r="G275" s="17"/>
    </row>
    <row r="276" spans="1:7" ht="18" customHeight="1">
      <c r="A276" s="16"/>
      <c r="B276" s="16"/>
      <c r="C276" s="25"/>
      <c r="D276" s="16"/>
      <c r="E276" s="16"/>
      <c r="F276" s="16"/>
      <c r="G276" s="17"/>
    </row>
    <row r="277" spans="1:7" ht="18" customHeight="1">
      <c r="A277" s="16"/>
      <c r="B277" s="16"/>
      <c r="C277" s="25"/>
      <c r="D277" s="16"/>
      <c r="E277" s="16"/>
      <c r="F277" s="16"/>
      <c r="G277" s="17"/>
    </row>
    <row r="278" spans="1:7" ht="18" customHeight="1">
      <c r="A278" s="16"/>
      <c r="B278" s="16"/>
      <c r="C278" s="25"/>
      <c r="D278" s="16"/>
      <c r="E278" s="16"/>
      <c r="F278" s="16"/>
      <c r="G278" s="17"/>
    </row>
    <row r="279" spans="1:7" ht="18" customHeight="1">
      <c r="A279" s="16"/>
      <c r="B279" s="16"/>
      <c r="C279" s="25"/>
      <c r="D279" s="16"/>
      <c r="E279" s="16"/>
      <c r="F279" s="16"/>
      <c r="G279" s="17"/>
    </row>
    <row r="280" spans="1:7" ht="18" customHeight="1">
      <c r="A280" s="16"/>
      <c r="B280" s="16"/>
      <c r="C280" s="25"/>
      <c r="D280" s="16"/>
      <c r="E280" s="16"/>
      <c r="F280" s="16"/>
      <c r="G280" s="17"/>
    </row>
    <row r="281" spans="1:7" ht="18" customHeight="1">
      <c r="A281" s="16"/>
      <c r="B281" s="16"/>
      <c r="C281" s="25"/>
      <c r="D281" s="16"/>
      <c r="E281" s="16"/>
      <c r="F281" s="16"/>
      <c r="G281" s="17"/>
    </row>
    <row r="282" spans="1:7" ht="18" customHeight="1">
      <c r="A282" s="16"/>
      <c r="B282" s="16"/>
      <c r="C282" s="25"/>
      <c r="D282" s="16"/>
      <c r="E282" s="16"/>
      <c r="F282" s="16"/>
      <c r="G282" s="17"/>
    </row>
    <row r="283" spans="1:7" ht="18" customHeight="1">
      <c r="A283" s="16"/>
      <c r="B283" s="16"/>
      <c r="C283" s="25"/>
      <c r="D283" s="16"/>
      <c r="E283" s="16"/>
      <c r="F283" s="16"/>
      <c r="G283" s="17"/>
    </row>
    <row r="284" spans="1:7" ht="18" customHeight="1">
      <c r="A284" s="16"/>
      <c r="B284" s="16"/>
      <c r="C284" s="25"/>
      <c r="D284" s="16"/>
      <c r="E284" s="16"/>
      <c r="F284" s="16"/>
      <c r="G284" s="17"/>
    </row>
    <row r="285" spans="1:7" ht="18" customHeight="1">
      <c r="A285" s="16"/>
      <c r="B285" s="16"/>
      <c r="C285" s="25"/>
      <c r="D285" s="16"/>
      <c r="E285" s="16"/>
      <c r="F285" s="16"/>
      <c r="G285" s="17"/>
    </row>
    <row r="286" spans="1:7" ht="18" customHeight="1">
      <c r="A286" s="16"/>
      <c r="B286" s="16"/>
      <c r="C286" s="25"/>
      <c r="D286" s="16"/>
      <c r="E286" s="16"/>
      <c r="F286" s="16"/>
      <c r="G286" s="17"/>
    </row>
    <row r="287" spans="1:7" ht="18" customHeight="1">
      <c r="A287" s="16"/>
      <c r="B287" s="16"/>
      <c r="C287" s="25"/>
      <c r="D287" s="16"/>
      <c r="E287" s="16"/>
      <c r="F287" s="16"/>
      <c r="G287" s="17"/>
    </row>
    <row r="288" spans="1:7" ht="18" customHeight="1">
      <c r="A288" s="16"/>
      <c r="B288" s="16"/>
      <c r="C288" s="25"/>
      <c r="D288" s="16"/>
      <c r="E288" s="16"/>
      <c r="F288" s="16"/>
      <c r="G288" s="17"/>
    </row>
    <row r="289" spans="1:7" ht="18" customHeight="1">
      <c r="A289" s="16"/>
      <c r="B289" s="16"/>
      <c r="C289" s="25"/>
      <c r="D289" s="16"/>
      <c r="E289" s="16"/>
      <c r="F289" s="16"/>
      <c r="G289" s="17"/>
    </row>
    <row r="290" spans="1:7" ht="18" customHeight="1">
      <c r="A290" s="16"/>
      <c r="B290" s="16"/>
      <c r="C290" s="25"/>
      <c r="D290" s="16"/>
      <c r="E290" s="16"/>
      <c r="F290" s="16"/>
      <c r="G290" s="17"/>
    </row>
    <row r="291" spans="1:7" ht="18" customHeight="1">
      <c r="A291" s="16"/>
      <c r="B291" s="16"/>
      <c r="C291" s="25"/>
      <c r="D291" s="16"/>
      <c r="E291" s="16"/>
      <c r="F291" s="16"/>
      <c r="G291" s="17"/>
    </row>
    <row r="292" spans="1:7" ht="18" customHeight="1">
      <c r="A292" s="16"/>
      <c r="B292" s="16"/>
      <c r="C292" s="25"/>
      <c r="D292" s="16"/>
      <c r="E292" s="16"/>
      <c r="F292" s="16"/>
      <c r="G292" s="17"/>
    </row>
    <row r="293" spans="1:7" ht="18" customHeight="1">
      <c r="A293" s="16"/>
      <c r="B293" s="16"/>
      <c r="C293" s="25"/>
      <c r="D293" s="16"/>
      <c r="E293" s="16"/>
      <c r="F293" s="16"/>
      <c r="G293" s="17"/>
    </row>
    <row r="294" spans="1:7" ht="18" customHeight="1">
      <c r="A294" s="16"/>
      <c r="B294" s="16"/>
      <c r="C294" s="25"/>
      <c r="D294" s="16"/>
      <c r="E294" s="16"/>
      <c r="F294" s="16"/>
      <c r="G294" s="17"/>
    </row>
    <row r="295" spans="1:7" ht="18" customHeight="1">
      <c r="A295" s="16"/>
      <c r="B295" s="16"/>
      <c r="C295" s="25"/>
      <c r="D295" s="16"/>
      <c r="E295" s="16"/>
      <c r="F295" s="16"/>
      <c r="G295" s="17"/>
    </row>
    <row r="296" spans="1:7" ht="18" customHeight="1">
      <c r="A296" s="16"/>
      <c r="B296" s="16"/>
      <c r="C296" s="25"/>
      <c r="D296" s="16"/>
      <c r="E296" s="16"/>
      <c r="F296" s="16"/>
      <c r="G296" s="17"/>
    </row>
    <row r="297" spans="1:7" ht="18" customHeight="1">
      <c r="A297" s="16"/>
      <c r="B297" s="16"/>
      <c r="C297" s="25"/>
      <c r="D297" s="16"/>
      <c r="E297" s="16"/>
      <c r="F297" s="16"/>
      <c r="G297" s="17"/>
    </row>
    <row r="298" spans="1:7" ht="18" customHeight="1">
      <c r="A298" s="16"/>
      <c r="B298" s="16"/>
      <c r="C298" s="25"/>
      <c r="D298" s="16"/>
      <c r="E298" s="16"/>
      <c r="F298" s="16"/>
      <c r="G298" s="17"/>
    </row>
    <row r="299" spans="1:7" ht="18" customHeight="1">
      <c r="A299" s="16"/>
      <c r="B299" s="16"/>
      <c r="C299" s="25"/>
      <c r="D299" s="16"/>
      <c r="E299" s="16"/>
      <c r="F299" s="16"/>
      <c r="G299" s="17"/>
    </row>
    <row r="300" spans="1:7" ht="18" customHeight="1">
      <c r="A300" s="16"/>
      <c r="B300" s="16"/>
      <c r="C300" s="25"/>
      <c r="D300" s="16"/>
      <c r="E300" s="16"/>
      <c r="F300" s="16"/>
      <c r="G300" s="17"/>
    </row>
    <row r="301" spans="1:7" ht="18" customHeight="1">
      <c r="A301" s="16"/>
      <c r="B301" s="16"/>
      <c r="C301" s="25"/>
      <c r="D301" s="16"/>
      <c r="E301" s="16"/>
      <c r="F301" s="16"/>
      <c r="G301" s="17"/>
    </row>
    <row r="302" spans="1:7" ht="18" customHeight="1">
      <c r="A302" s="16"/>
      <c r="B302" s="16"/>
      <c r="C302" s="25"/>
      <c r="D302" s="16"/>
      <c r="E302" s="16"/>
      <c r="F302" s="16"/>
      <c r="G302" s="17"/>
    </row>
    <row r="303" spans="1:7" ht="18" customHeight="1">
      <c r="A303" s="16"/>
      <c r="B303" s="16"/>
      <c r="C303" s="25"/>
      <c r="D303" s="16"/>
      <c r="E303" s="16"/>
      <c r="F303" s="16"/>
      <c r="G303" s="17"/>
    </row>
    <row r="304" spans="1:7" ht="18" customHeight="1">
      <c r="A304" s="16"/>
      <c r="B304" s="16"/>
      <c r="C304" s="25"/>
      <c r="D304" s="16"/>
      <c r="E304" s="16"/>
      <c r="F304" s="16"/>
      <c r="G304" s="17"/>
    </row>
    <row r="305" spans="1:7" ht="18" customHeight="1">
      <c r="A305" s="16"/>
      <c r="B305" s="16"/>
      <c r="C305" s="25"/>
      <c r="D305" s="16"/>
      <c r="E305" s="16"/>
      <c r="F305" s="16"/>
      <c r="G305" s="17"/>
    </row>
    <row r="306" spans="1:7" ht="18" customHeight="1">
      <c r="A306" s="16"/>
      <c r="B306" s="16"/>
      <c r="C306" s="25"/>
      <c r="D306" s="16"/>
      <c r="E306" s="16"/>
      <c r="F306" s="16"/>
      <c r="G306" s="17"/>
    </row>
    <row r="307" spans="1:7" ht="18" customHeight="1">
      <c r="A307" s="16"/>
      <c r="B307" s="16"/>
      <c r="C307" s="25"/>
      <c r="D307" s="16"/>
      <c r="E307" s="16"/>
      <c r="F307" s="16"/>
      <c r="G307" s="17"/>
    </row>
    <row r="308" spans="1:7" ht="18" customHeight="1">
      <c r="A308" s="16"/>
      <c r="B308" s="16"/>
      <c r="C308" s="25"/>
      <c r="D308" s="16"/>
      <c r="E308" s="16"/>
      <c r="F308" s="16"/>
      <c r="G308" s="17"/>
    </row>
    <row r="309" spans="1:7" ht="18" customHeight="1">
      <c r="A309" s="16"/>
      <c r="B309" s="16"/>
      <c r="C309" s="25"/>
      <c r="D309" s="16"/>
      <c r="E309" s="16"/>
      <c r="F309" s="16"/>
      <c r="G309" s="17"/>
    </row>
    <row r="310" spans="1:7" ht="18" customHeight="1">
      <c r="A310" s="16"/>
      <c r="B310" s="16"/>
      <c r="C310" s="25"/>
      <c r="D310" s="16"/>
      <c r="E310" s="16"/>
      <c r="F310" s="16"/>
      <c r="G310" s="17"/>
    </row>
    <row r="311" spans="1:7" ht="18" customHeight="1">
      <c r="A311" s="16"/>
      <c r="B311" s="16"/>
      <c r="C311" s="25"/>
      <c r="D311" s="16"/>
      <c r="E311" s="16"/>
      <c r="F311" s="16"/>
      <c r="G311" s="17"/>
    </row>
    <row r="312" spans="1:7" ht="18" customHeight="1">
      <c r="A312" s="16"/>
      <c r="B312" s="16"/>
      <c r="C312" s="25"/>
      <c r="D312" s="16"/>
      <c r="E312" s="16"/>
      <c r="F312" s="16"/>
      <c r="G312" s="17"/>
    </row>
    <row r="313" spans="1:7" ht="18" customHeight="1">
      <c r="A313" s="16"/>
      <c r="B313" s="16"/>
      <c r="C313" s="25"/>
      <c r="D313" s="16"/>
      <c r="E313" s="16"/>
      <c r="F313" s="16"/>
      <c r="G313" s="17"/>
    </row>
    <row r="314" spans="1:7" ht="18" customHeight="1">
      <c r="A314" s="16"/>
      <c r="B314" s="16"/>
      <c r="C314" s="25"/>
      <c r="D314" s="16"/>
      <c r="E314" s="16"/>
      <c r="F314" s="16"/>
      <c r="G314" s="17"/>
    </row>
    <row r="315" spans="1:7" ht="18" customHeight="1">
      <c r="A315" s="16"/>
      <c r="B315" s="16"/>
      <c r="C315" s="25"/>
      <c r="D315" s="16"/>
      <c r="E315" s="16"/>
      <c r="F315" s="16"/>
      <c r="G315" s="17"/>
    </row>
    <row r="316" spans="1:7" ht="18" customHeight="1">
      <c r="A316" s="16"/>
      <c r="B316" s="16"/>
      <c r="C316" s="25"/>
      <c r="D316" s="16"/>
      <c r="E316" s="16"/>
      <c r="F316" s="16"/>
      <c r="G316" s="17"/>
    </row>
    <row r="317" spans="1:7" ht="18" customHeight="1">
      <c r="A317" s="16"/>
      <c r="B317" s="16"/>
      <c r="C317" s="25"/>
      <c r="D317" s="16"/>
      <c r="E317" s="16"/>
      <c r="F317" s="16"/>
      <c r="G317" s="17"/>
    </row>
    <row r="318" spans="1:7" ht="18" customHeight="1">
      <c r="A318" s="16"/>
      <c r="B318" s="16"/>
      <c r="C318" s="25"/>
      <c r="D318" s="16"/>
      <c r="E318" s="16"/>
      <c r="F318" s="16"/>
      <c r="G318" s="17"/>
    </row>
    <row r="319" spans="1:7" ht="18" customHeight="1">
      <c r="A319" s="16"/>
      <c r="B319" s="16"/>
      <c r="C319" s="25"/>
      <c r="D319" s="16"/>
      <c r="E319" s="16"/>
      <c r="F319" s="16"/>
      <c r="G319" s="17"/>
    </row>
    <row r="320" spans="1:7" ht="18" customHeight="1">
      <c r="A320" s="16"/>
      <c r="B320" s="16"/>
      <c r="C320" s="25"/>
      <c r="D320" s="16"/>
      <c r="E320" s="16"/>
      <c r="F320" s="16"/>
      <c r="G320" s="17"/>
    </row>
    <row r="321" spans="1:7" ht="18" customHeight="1">
      <c r="A321" s="16"/>
      <c r="B321" s="16"/>
      <c r="C321" s="25"/>
      <c r="D321" s="16"/>
      <c r="E321" s="16"/>
      <c r="F321" s="16"/>
      <c r="G321" s="17"/>
    </row>
    <row r="322" spans="1:7" ht="18" customHeight="1">
      <c r="A322" s="16"/>
      <c r="B322" s="16"/>
      <c r="C322" s="25"/>
      <c r="D322" s="16"/>
      <c r="E322" s="16"/>
      <c r="F322" s="16"/>
      <c r="G322" s="17"/>
    </row>
    <row r="323" spans="1:7" ht="18" customHeight="1">
      <c r="A323" s="16"/>
      <c r="B323" s="16"/>
      <c r="C323" s="25"/>
      <c r="D323" s="16"/>
      <c r="E323" s="16"/>
      <c r="F323" s="16"/>
      <c r="G323" s="17"/>
    </row>
    <row r="324" spans="1:7" ht="18" customHeight="1">
      <c r="A324" s="16"/>
      <c r="B324" s="16"/>
      <c r="C324" s="25"/>
      <c r="D324" s="16"/>
      <c r="E324" s="16"/>
      <c r="F324" s="16"/>
      <c r="G324" s="17"/>
    </row>
    <row r="325" spans="1:7" ht="18" customHeight="1">
      <c r="A325" s="16"/>
      <c r="B325" s="16"/>
      <c r="C325" s="25"/>
      <c r="D325" s="16"/>
      <c r="E325" s="16"/>
      <c r="F325" s="16"/>
      <c r="G325" s="17"/>
    </row>
    <row r="326" spans="1:7" ht="18" customHeight="1">
      <c r="A326" s="16"/>
      <c r="B326" s="16"/>
      <c r="C326" s="25"/>
      <c r="D326" s="16"/>
      <c r="E326" s="16"/>
      <c r="F326" s="16"/>
      <c r="G326" s="17"/>
    </row>
    <row r="327" spans="1:7" ht="18" customHeight="1">
      <c r="A327" s="16"/>
      <c r="B327" s="16"/>
      <c r="C327" s="25"/>
      <c r="D327" s="16"/>
      <c r="E327" s="16"/>
      <c r="F327" s="16"/>
      <c r="G327" s="17"/>
    </row>
    <row r="328" spans="1:7" ht="18" customHeight="1">
      <c r="A328" s="16"/>
      <c r="B328" s="16"/>
      <c r="C328" s="25"/>
      <c r="D328" s="16"/>
      <c r="E328" s="16"/>
      <c r="F328" s="16"/>
      <c r="G328" s="17"/>
    </row>
    <row r="329" spans="1:7" ht="18" customHeight="1">
      <c r="A329" s="16"/>
      <c r="B329" s="16"/>
      <c r="C329" s="25"/>
      <c r="D329" s="16"/>
      <c r="E329" s="16"/>
      <c r="F329" s="16"/>
      <c r="G329" s="17"/>
    </row>
    <row r="330" spans="1:7" ht="18" customHeight="1">
      <c r="A330" s="16"/>
      <c r="B330" s="16"/>
      <c r="C330" s="25"/>
      <c r="D330" s="16"/>
      <c r="E330" s="16"/>
      <c r="F330" s="16"/>
      <c r="G330" s="17"/>
    </row>
    <row r="331" spans="1:7" ht="18" customHeight="1">
      <c r="A331" s="16"/>
      <c r="B331" s="16"/>
      <c r="C331" s="25"/>
      <c r="D331" s="16"/>
      <c r="E331" s="16"/>
      <c r="F331" s="16"/>
      <c r="G331" s="17"/>
    </row>
    <row r="332" spans="1:7" ht="18" customHeight="1">
      <c r="A332" s="16"/>
      <c r="B332" s="16"/>
      <c r="C332" s="25"/>
      <c r="D332" s="16"/>
      <c r="E332" s="16"/>
      <c r="F332" s="16"/>
      <c r="G332" s="17"/>
    </row>
    <row r="333" spans="1:7" ht="18" customHeight="1">
      <c r="A333" s="16"/>
      <c r="B333" s="16"/>
      <c r="C333" s="25"/>
      <c r="D333" s="16"/>
      <c r="E333" s="16"/>
      <c r="F333" s="16"/>
      <c r="G333" s="17"/>
    </row>
    <row r="334" spans="1:7" ht="18" customHeight="1">
      <c r="A334" s="16"/>
      <c r="B334" s="16"/>
      <c r="C334" s="25"/>
      <c r="D334" s="16"/>
      <c r="E334" s="16"/>
      <c r="F334" s="16"/>
      <c r="G334" s="17"/>
    </row>
    <row r="335" spans="1:7" ht="18" customHeight="1">
      <c r="A335" s="16"/>
      <c r="B335" s="16"/>
      <c r="C335" s="25"/>
      <c r="D335" s="16"/>
      <c r="E335" s="16"/>
      <c r="F335" s="16"/>
      <c r="G335" s="17"/>
    </row>
    <row r="336" spans="1:7" ht="18" customHeight="1">
      <c r="A336" s="16"/>
      <c r="B336" s="16"/>
      <c r="C336" s="25"/>
      <c r="D336" s="16"/>
      <c r="E336" s="16"/>
      <c r="F336" s="16"/>
      <c r="G336" s="17"/>
    </row>
    <row r="337" spans="1:7" ht="18" customHeight="1">
      <c r="A337" s="16"/>
      <c r="B337" s="16"/>
      <c r="C337" s="25"/>
      <c r="D337" s="16"/>
      <c r="E337" s="16"/>
      <c r="F337" s="16"/>
      <c r="G337" s="17"/>
    </row>
    <row r="338" spans="1:7" ht="18" customHeight="1">
      <c r="A338" s="16"/>
      <c r="B338" s="16"/>
      <c r="C338" s="25"/>
      <c r="D338" s="16"/>
      <c r="E338" s="16"/>
      <c r="F338" s="16"/>
      <c r="G338" s="17"/>
    </row>
    <row r="339" spans="1:7" ht="18" customHeight="1">
      <c r="A339" s="16"/>
      <c r="B339" s="16"/>
      <c r="C339" s="25"/>
      <c r="D339" s="16"/>
      <c r="E339" s="16"/>
      <c r="F339" s="16"/>
      <c r="G339" s="17"/>
    </row>
    <row r="340" spans="1:7" ht="18" customHeight="1">
      <c r="A340" s="16"/>
      <c r="B340" s="16"/>
      <c r="C340" s="25"/>
      <c r="D340" s="16"/>
      <c r="E340" s="16"/>
      <c r="F340" s="16"/>
      <c r="G340" s="17"/>
    </row>
    <row r="341" spans="1:7" ht="18" customHeight="1">
      <c r="A341" s="16"/>
      <c r="B341" s="16"/>
      <c r="C341" s="25"/>
      <c r="D341" s="16"/>
      <c r="E341" s="16"/>
      <c r="F341" s="16"/>
      <c r="G341" s="17"/>
    </row>
    <row r="342" spans="1:7" ht="18" customHeight="1">
      <c r="A342" s="16"/>
      <c r="B342" s="16"/>
      <c r="C342" s="25"/>
      <c r="D342" s="16"/>
      <c r="E342" s="16"/>
      <c r="F342" s="16"/>
      <c r="G342" s="17"/>
    </row>
    <row r="343" spans="1:7" ht="18" customHeight="1">
      <c r="A343" s="16"/>
      <c r="B343" s="16"/>
      <c r="C343" s="25"/>
      <c r="D343" s="16"/>
      <c r="E343" s="16"/>
      <c r="F343" s="16"/>
      <c r="G343" s="17"/>
    </row>
    <row r="344" spans="1:7" ht="18" customHeight="1">
      <c r="A344" s="16"/>
      <c r="B344" s="16"/>
      <c r="C344" s="25"/>
      <c r="D344" s="16"/>
      <c r="E344" s="16"/>
      <c r="F344" s="16"/>
      <c r="G344" s="17"/>
    </row>
    <row r="345" spans="1:7" ht="18" customHeight="1">
      <c r="A345" s="16"/>
      <c r="B345" s="16"/>
      <c r="C345" s="25"/>
      <c r="D345" s="16"/>
      <c r="E345" s="16"/>
      <c r="F345" s="16"/>
      <c r="G345" s="17"/>
    </row>
    <row r="346" spans="1:7" ht="18" customHeight="1">
      <c r="A346" s="16"/>
      <c r="B346" s="16"/>
      <c r="C346" s="25"/>
      <c r="D346" s="16"/>
      <c r="E346" s="16"/>
      <c r="F346" s="16"/>
      <c r="G346" s="17"/>
    </row>
    <row r="347" spans="1:7" ht="18" customHeight="1">
      <c r="A347" s="16"/>
      <c r="B347" s="16"/>
      <c r="C347" s="25"/>
      <c r="D347" s="16"/>
      <c r="E347" s="16"/>
      <c r="F347" s="16"/>
      <c r="G347" s="17"/>
    </row>
    <row r="348" spans="1:7" ht="18" customHeight="1">
      <c r="A348" s="16"/>
      <c r="B348" s="16"/>
      <c r="C348" s="25"/>
      <c r="D348" s="16"/>
      <c r="E348" s="16"/>
      <c r="F348" s="16"/>
      <c r="G348" s="17"/>
    </row>
    <row r="349" spans="1:7" ht="18" customHeight="1">
      <c r="A349" s="16"/>
      <c r="B349" s="16"/>
      <c r="C349" s="25"/>
      <c r="D349" s="16"/>
      <c r="E349" s="16"/>
      <c r="F349" s="16"/>
      <c r="G349" s="17"/>
    </row>
    <row r="350" spans="1:7" ht="18" customHeight="1">
      <c r="A350" s="16"/>
      <c r="B350" s="16"/>
      <c r="C350" s="25"/>
      <c r="D350" s="16"/>
      <c r="E350" s="16"/>
      <c r="F350" s="16"/>
      <c r="G350" s="17"/>
    </row>
    <row r="351" spans="1:7" ht="18" customHeight="1">
      <c r="A351" s="16"/>
      <c r="B351" s="16"/>
      <c r="C351" s="25"/>
      <c r="D351" s="16"/>
      <c r="E351" s="16"/>
      <c r="F351" s="16"/>
      <c r="G351" s="17"/>
    </row>
    <row r="352" spans="1:7" ht="18" customHeight="1">
      <c r="A352" s="16"/>
      <c r="B352" s="16"/>
      <c r="C352" s="25"/>
      <c r="D352" s="16"/>
      <c r="E352" s="16"/>
      <c r="F352" s="16"/>
      <c r="G352" s="17"/>
    </row>
    <row r="353" spans="1:7" ht="18" customHeight="1">
      <c r="A353" s="16"/>
      <c r="B353" s="16"/>
      <c r="C353" s="25"/>
      <c r="D353" s="16"/>
      <c r="E353" s="16"/>
      <c r="F353" s="16"/>
      <c r="G353" s="17"/>
    </row>
    <row r="354" spans="1:7" ht="18" customHeight="1">
      <c r="A354" s="16"/>
      <c r="B354" s="16"/>
      <c r="C354" s="25"/>
      <c r="D354" s="16"/>
      <c r="E354" s="16"/>
      <c r="F354" s="16"/>
      <c r="G354" s="17"/>
    </row>
    <row r="355" spans="1:7" ht="18" customHeight="1">
      <c r="A355" s="16"/>
      <c r="B355" s="16"/>
      <c r="C355" s="25"/>
      <c r="D355" s="16"/>
      <c r="E355" s="16"/>
      <c r="F355" s="16"/>
      <c r="G355" s="17"/>
    </row>
    <row r="356" spans="1:7" ht="18" customHeight="1">
      <c r="A356" s="16"/>
      <c r="B356" s="16"/>
      <c r="C356" s="25"/>
      <c r="D356" s="16"/>
      <c r="E356" s="16"/>
      <c r="F356" s="16"/>
      <c r="G356" s="17"/>
    </row>
    <row r="357" spans="1:7" ht="18" customHeight="1">
      <c r="A357" s="16"/>
      <c r="B357" s="16"/>
      <c r="C357" s="25"/>
      <c r="D357" s="16"/>
      <c r="E357" s="16"/>
      <c r="F357" s="16"/>
      <c r="G357" s="17"/>
    </row>
    <row r="358" spans="1:7" ht="18" customHeight="1">
      <c r="A358" s="16"/>
      <c r="B358" s="16"/>
      <c r="C358" s="25"/>
      <c r="D358" s="16"/>
      <c r="E358" s="16"/>
      <c r="F358" s="16"/>
      <c r="G358" s="17"/>
    </row>
    <row r="359" spans="1:7" ht="18" customHeight="1">
      <c r="A359" s="16"/>
      <c r="B359" s="16"/>
      <c r="C359" s="25"/>
      <c r="D359" s="16"/>
      <c r="E359" s="16"/>
      <c r="F359" s="16"/>
      <c r="G359" s="17"/>
    </row>
    <row r="360" spans="1:7" ht="18" customHeight="1">
      <c r="A360" s="16"/>
      <c r="B360" s="16"/>
      <c r="C360" s="25"/>
      <c r="D360" s="16"/>
      <c r="E360" s="16"/>
      <c r="F360" s="16"/>
      <c r="G360" s="17"/>
    </row>
    <row r="361" spans="1:7" ht="18" customHeight="1">
      <c r="A361" s="16"/>
      <c r="B361" s="16"/>
      <c r="C361" s="25"/>
      <c r="D361" s="16"/>
      <c r="E361" s="16"/>
      <c r="F361" s="16"/>
      <c r="G361" s="17"/>
    </row>
    <row r="362" spans="1:7" ht="18" customHeight="1">
      <c r="A362" s="16"/>
      <c r="B362" s="16"/>
      <c r="C362" s="25"/>
      <c r="D362" s="16"/>
      <c r="E362" s="16"/>
      <c r="F362" s="16"/>
      <c r="G362" s="17"/>
    </row>
    <row r="363" spans="1:7" ht="18" customHeight="1">
      <c r="A363" s="16"/>
      <c r="B363" s="16"/>
      <c r="C363" s="25"/>
      <c r="D363" s="16"/>
      <c r="E363" s="16"/>
      <c r="F363" s="16"/>
      <c r="G363" s="17"/>
    </row>
    <row r="364" spans="1:7" ht="18" customHeight="1">
      <c r="A364" s="16"/>
      <c r="B364" s="16"/>
      <c r="C364" s="25"/>
      <c r="D364" s="16"/>
      <c r="E364" s="16"/>
      <c r="F364" s="16"/>
      <c r="G364" s="17"/>
    </row>
    <row r="365" spans="1:7" ht="18" customHeight="1">
      <c r="A365" s="16"/>
      <c r="B365" s="16"/>
      <c r="C365" s="25"/>
      <c r="D365" s="16"/>
      <c r="E365" s="16"/>
      <c r="F365" s="16"/>
      <c r="G365" s="17"/>
    </row>
    <row r="366" spans="1:7" ht="18" customHeight="1">
      <c r="A366" s="16"/>
      <c r="B366" s="16"/>
      <c r="C366" s="25"/>
      <c r="D366" s="16"/>
      <c r="E366" s="16"/>
      <c r="F366" s="16"/>
      <c r="G366" s="17"/>
    </row>
    <row r="367" spans="1:7" ht="18" customHeight="1">
      <c r="A367" s="16"/>
      <c r="B367" s="16"/>
      <c r="C367" s="25"/>
      <c r="D367" s="16"/>
      <c r="E367" s="16"/>
      <c r="F367" s="16"/>
      <c r="G367" s="17"/>
    </row>
    <row r="368" spans="1:7" ht="18" customHeight="1">
      <c r="A368" s="16"/>
      <c r="B368" s="16"/>
      <c r="C368" s="25"/>
      <c r="D368" s="16"/>
      <c r="E368" s="16"/>
      <c r="F368" s="16"/>
      <c r="G368" s="17"/>
    </row>
    <row r="369" spans="1:7" ht="18" customHeight="1">
      <c r="A369" s="16"/>
      <c r="B369" s="16"/>
      <c r="C369" s="25"/>
      <c r="D369" s="16"/>
      <c r="E369" s="16"/>
      <c r="F369" s="16"/>
      <c r="G369" s="17"/>
    </row>
    <row r="370" spans="1:7" ht="18" customHeight="1">
      <c r="A370" s="16"/>
      <c r="B370" s="16"/>
      <c r="C370" s="25"/>
      <c r="D370" s="16"/>
      <c r="E370" s="16"/>
      <c r="F370" s="16"/>
      <c r="G370" s="17"/>
    </row>
    <row r="371" spans="1:7" ht="18" customHeight="1">
      <c r="A371" s="16"/>
      <c r="B371" s="16"/>
      <c r="C371" s="25"/>
      <c r="D371" s="16"/>
      <c r="E371" s="16"/>
      <c r="F371" s="16"/>
      <c r="G371" s="17"/>
    </row>
    <row r="372" spans="1:7" ht="18" customHeight="1">
      <c r="A372" s="16"/>
      <c r="B372" s="16"/>
      <c r="C372" s="25"/>
      <c r="D372" s="16"/>
      <c r="E372" s="16"/>
      <c r="F372" s="16"/>
      <c r="G372" s="17"/>
    </row>
    <row r="373" spans="1:7" ht="18" customHeight="1">
      <c r="A373" s="16"/>
      <c r="B373" s="16"/>
      <c r="C373" s="25"/>
      <c r="D373" s="16"/>
      <c r="E373" s="16"/>
      <c r="F373" s="16"/>
      <c r="G373" s="17"/>
    </row>
    <row r="374" spans="1:7" ht="18" customHeight="1">
      <c r="A374" s="16"/>
      <c r="B374" s="16"/>
      <c r="C374" s="25"/>
      <c r="D374" s="16"/>
      <c r="E374" s="16"/>
      <c r="F374" s="16"/>
      <c r="G374" s="17"/>
    </row>
    <row r="375" spans="1:7" ht="18" customHeight="1">
      <c r="A375" s="16"/>
      <c r="B375" s="16"/>
      <c r="C375" s="25"/>
      <c r="D375" s="16"/>
      <c r="E375" s="16"/>
      <c r="F375" s="16"/>
      <c r="G375" s="17"/>
    </row>
    <row r="376" spans="1:7" ht="18" customHeight="1">
      <c r="A376" s="16"/>
      <c r="B376" s="16"/>
      <c r="C376" s="25"/>
      <c r="D376" s="16"/>
      <c r="E376" s="16"/>
      <c r="F376" s="16"/>
      <c r="G376" s="17"/>
    </row>
    <row r="377" spans="1:7" ht="18" customHeight="1">
      <c r="A377" s="16"/>
      <c r="B377" s="16"/>
      <c r="C377" s="25"/>
      <c r="D377" s="16"/>
      <c r="E377" s="16"/>
      <c r="F377" s="16"/>
      <c r="G377" s="17"/>
    </row>
    <row r="378" spans="1:7" ht="18" customHeight="1">
      <c r="A378" s="16"/>
      <c r="B378" s="16"/>
      <c r="C378" s="25"/>
      <c r="D378" s="16"/>
      <c r="E378" s="16"/>
      <c r="F378" s="16"/>
      <c r="G378" s="17"/>
    </row>
    <row r="379" spans="1:7" ht="18" customHeight="1">
      <c r="A379" s="16"/>
      <c r="B379" s="16"/>
      <c r="C379" s="25"/>
      <c r="D379" s="16"/>
      <c r="E379" s="16"/>
      <c r="F379" s="16"/>
      <c r="G379" s="17"/>
    </row>
    <row r="380" spans="1:7" ht="18" customHeight="1">
      <c r="A380" s="16"/>
      <c r="B380" s="16"/>
      <c r="C380" s="25"/>
      <c r="D380" s="16"/>
      <c r="E380" s="16"/>
      <c r="F380" s="16"/>
      <c r="G380" s="17"/>
    </row>
    <row r="381" spans="1:7" ht="18" customHeight="1">
      <c r="A381" s="16"/>
      <c r="B381" s="16"/>
      <c r="C381" s="25"/>
      <c r="D381" s="16"/>
      <c r="E381" s="16"/>
      <c r="F381" s="16"/>
      <c r="G381" s="17"/>
    </row>
    <row r="382" spans="1:7" ht="18" customHeight="1">
      <c r="A382" s="16"/>
      <c r="B382" s="16"/>
      <c r="C382" s="25"/>
      <c r="D382" s="16"/>
      <c r="E382" s="16"/>
      <c r="F382" s="16"/>
      <c r="G382" s="17"/>
    </row>
    <row r="383" spans="1:7" ht="18" customHeight="1">
      <c r="A383" s="16"/>
      <c r="B383" s="16"/>
      <c r="C383" s="25"/>
      <c r="D383" s="16"/>
      <c r="E383" s="16"/>
      <c r="F383" s="16"/>
      <c r="G383" s="17"/>
    </row>
    <row r="384" spans="1:7" ht="18" customHeight="1">
      <c r="A384" s="16"/>
      <c r="B384" s="16"/>
      <c r="C384" s="25"/>
      <c r="D384" s="16"/>
      <c r="E384" s="16"/>
      <c r="F384" s="16"/>
      <c r="G384" s="17"/>
    </row>
    <row r="385" spans="1:7" ht="18" customHeight="1">
      <c r="A385" s="16"/>
      <c r="B385" s="16"/>
      <c r="C385" s="25"/>
      <c r="D385" s="16"/>
      <c r="E385" s="16"/>
      <c r="F385" s="16"/>
      <c r="G385" s="17"/>
    </row>
    <row r="386" spans="1:7" ht="18" customHeight="1">
      <c r="A386" s="16"/>
      <c r="B386" s="16"/>
      <c r="C386" s="25"/>
      <c r="D386" s="16"/>
      <c r="E386" s="16"/>
      <c r="F386" s="16"/>
      <c r="G386" s="17"/>
    </row>
    <row r="387" spans="1:7" ht="18" customHeight="1">
      <c r="A387" s="16"/>
      <c r="B387" s="16"/>
      <c r="C387" s="25"/>
      <c r="D387" s="16"/>
      <c r="E387" s="16"/>
      <c r="F387" s="16"/>
      <c r="G387" s="17"/>
    </row>
    <row r="388" spans="1:7" ht="18" customHeight="1">
      <c r="A388" s="16"/>
      <c r="B388" s="16"/>
      <c r="C388" s="25"/>
      <c r="D388" s="16"/>
      <c r="E388" s="16"/>
      <c r="F388" s="16"/>
      <c r="G388" s="17"/>
    </row>
    <row r="389" spans="1:7" ht="18" customHeight="1">
      <c r="A389" s="16"/>
      <c r="B389" s="16"/>
      <c r="C389" s="25"/>
      <c r="D389" s="16"/>
      <c r="E389" s="16"/>
      <c r="F389" s="16"/>
      <c r="G389" s="17"/>
    </row>
    <row r="390" spans="1:7" ht="18" customHeight="1">
      <c r="A390" s="16"/>
      <c r="B390" s="16"/>
      <c r="C390" s="25"/>
      <c r="D390" s="16"/>
      <c r="E390" s="16"/>
      <c r="F390" s="16"/>
      <c r="G390" s="17"/>
    </row>
    <row r="391" spans="1:7" ht="18" customHeight="1">
      <c r="A391" s="16"/>
      <c r="B391" s="16"/>
      <c r="C391" s="25"/>
      <c r="D391" s="16"/>
      <c r="E391" s="16"/>
      <c r="F391" s="16"/>
      <c r="G391" s="17"/>
    </row>
    <row r="392" spans="1:7" ht="18" customHeight="1">
      <c r="A392" s="16"/>
      <c r="B392" s="16"/>
      <c r="C392" s="25"/>
      <c r="D392" s="16"/>
      <c r="E392" s="16"/>
      <c r="F392" s="16"/>
      <c r="G392" s="17"/>
    </row>
    <row r="393" spans="1:7" ht="18" customHeight="1">
      <c r="A393" s="16"/>
      <c r="B393" s="16"/>
      <c r="C393" s="25"/>
      <c r="D393" s="16"/>
      <c r="E393" s="16"/>
      <c r="F393" s="16"/>
      <c r="G393" s="17"/>
    </row>
    <row r="394" spans="1:7" ht="18" customHeight="1">
      <c r="A394" s="16"/>
      <c r="B394" s="16"/>
      <c r="C394" s="25"/>
      <c r="D394" s="16"/>
      <c r="E394" s="16"/>
      <c r="F394" s="16"/>
      <c r="G394" s="17"/>
    </row>
    <row r="395" spans="1:7" ht="18" customHeight="1">
      <c r="A395" s="16"/>
      <c r="B395" s="16"/>
      <c r="C395" s="25"/>
      <c r="D395" s="16"/>
      <c r="E395" s="16"/>
      <c r="F395" s="16"/>
      <c r="G395" s="17"/>
    </row>
    <row r="396" spans="1:7" ht="18" customHeight="1">
      <c r="A396" s="16"/>
      <c r="B396" s="16"/>
      <c r="C396" s="25"/>
      <c r="D396" s="16"/>
      <c r="E396" s="16"/>
      <c r="F396" s="16"/>
      <c r="G396" s="17"/>
    </row>
    <row r="397" spans="1:7" ht="18" customHeight="1">
      <c r="A397" s="16"/>
      <c r="B397" s="16"/>
      <c r="C397" s="25"/>
      <c r="D397" s="16"/>
      <c r="E397" s="16"/>
      <c r="F397" s="16"/>
      <c r="G397" s="17"/>
    </row>
    <row r="398" spans="1:7" ht="18" customHeight="1">
      <c r="A398" s="16"/>
      <c r="B398" s="16"/>
      <c r="C398" s="25"/>
      <c r="D398" s="16"/>
      <c r="E398" s="16"/>
      <c r="F398" s="16"/>
      <c r="G398" s="17"/>
    </row>
    <row r="399" spans="1:7" ht="18" customHeight="1">
      <c r="A399" s="16"/>
      <c r="B399" s="16"/>
      <c r="C399" s="25"/>
      <c r="D399" s="16"/>
      <c r="E399" s="16"/>
      <c r="F399" s="16"/>
      <c r="G399" s="17"/>
    </row>
    <row r="400" spans="1:7" ht="18" customHeight="1">
      <c r="A400" s="16"/>
      <c r="B400" s="16"/>
      <c r="C400" s="25"/>
      <c r="D400" s="16"/>
      <c r="E400" s="16"/>
      <c r="F400" s="16"/>
      <c r="G400" s="17"/>
    </row>
    <row r="401" spans="1:7" ht="18" customHeight="1">
      <c r="A401" s="16"/>
      <c r="B401" s="16"/>
      <c r="C401" s="25"/>
      <c r="D401" s="16"/>
      <c r="E401" s="16"/>
      <c r="F401" s="16"/>
      <c r="G401" s="17"/>
    </row>
    <row r="402" spans="1:7" ht="18" customHeight="1">
      <c r="A402" s="16"/>
      <c r="B402" s="16"/>
      <c r="C402" s="25"/>
      <c r="D402" s="16"/>
      <c r="E402" s="16"/>
      <c r="F402" s="16"/>
      <c r="G402" s="17"/>
    </row>
    <row r="403" spans="1:7" ht="18" customHeight="1">
      <c r="A403" s="16"/>
      <c r="B403" s="16"/>
      <c r="C403" s="25"/>
      <c r="D403" s="16"/>
      <c r="E403" s="16"/>
      <c r="F403" s="16"/>
      <c r="G403" s="17"/>
    </row>
    <row r="404" spans="1:7" ht="18" customHeight="1">
      <c r="A404" s="16"/>
      <c r="B404" s="16"/>
      <c r="C404" s="25"/>
      <c r="D404" s="16"/>
      <c r="E404" s="16"/>
      <c r="F404" s="16"/>
      <c r="G404" s="17"/>
    </row>
    <row r="405" spans="1:7" ht="18" customHeight="1">
      <c r="A405" s="16"/>
      <c r="B405" s="16"/>
      <c r="C405" s="25"/>
      <c r="D405" s="16"/>
      <c r="E405" s="16"/>
      <c r="F405" s="16"/>
      <c r="G405" s="17"/>
    </row>
    <row r="406" spans="1:7" ht="18" customHeight="1">
      <c r="A406" s="16"/>
      <c r="B406" s="16"/>
      <c r="C406" s="25"/>
      <c r="D406" s="16"/>
      <c r="E406" s="16"/>
      <c r="F406" s="16"/>
      <c r="G406" s="17"/>
    </row>
    <row r="407" spans="1:7" ht="18" customHeight="1">
      <c r="A407" s="16"/>
      <c r="B407" s="16"/>
      <c r="C407" s="25"/>
      <c r="D407" s="16"/>
      <c r="E407" s="16"/>
      <c r="F407" s="16"/>
      <c r="G407" s="17"/>
    </row>
    <row r="408" spans="1:7" ht="18" customHeight="1">
      <c r="A408" s="16"/>
      <c r="B408" s="16"/>
      <c r="C408" s="25"/>
      <c r="D408" s="16"/>
      <c r="E408" s="16"/>
      <c r="F408" s="16"/>
      <c r="G408" s="17"/>
    </row>
    <row r="409" spans="1:7" ht="18" customHeight="1">
      <c r="A409" s="16"/>
      <c r="B409" s="16"/>
      <c r="C409" s="25"/>
      <c r="D409" s="16"/>
      <c r="E409" s="16"/>
      <c r="F409" s="16"/>
      <c r="G409" s="17"/>
    </row>
    <row r="410" spans="1:7" ht="18" customHeight="1">
      <c r="A410" s="16"/>
      <c r="B410" s="16"/>
      <c r="C410" s="25"/>
      <c r="D410" s="16"/>
      <c r="E410" s="16"/>
      <c r="F410" s="16"/>
      <c r="G410" s="17"/>
    </row>
    <row r="411" spans="1:7" ht="18" customHeight="1">
      <c r="A411" s="16"/>
      <c r="B411" s="16"/>
      <c r="C411" s="25"/>
      <c r="D411" s="16"/>
      <c r="E411" s="16"/>
      <c r="F411" s="16"/>
      <c r="G411" s="17"/>
    </row>
    <row r="412" spans="1:7" ht="18" customHeight="1">
      <c r="A412" s="16"/>
      <c r="B412" s="16"/>
      <c r="C412" s="25"/>
      <c r="D412" s="16"/>
      <c r="E412" s="16"/>
      <c r="F412" s="16"/>
      <c r="G412" s="17"/>
    </row>
    <row r="413" spans="1:7" ht="18" customHeight="1">
      <c r="A413" s="16"/>
      <c r="B413" s="16"/>
      <c r="C413" s="25"/>
      <c r="D413" s="16"/>
      <c r="E413" s="16"/>
      <c r="F413" s="16"/>
      <c r="G413" s="17"/>
    </row>
    <row r="414" spans="1:7" ht="18" customHeight="1">
      <c r="A414" s="16"/>
      <c r="B414" s="16"/>
      <c r="C414" s="25"/>
      <c r="D414" s="16"/>
      <c r="E414" s="16"/>
      <c r="F414" s="16"/>
      <c r="G414" s="17"/>
    </row>
    <row r="415" spans="1:7" ht="18" customHeight="1">
      <c r="A415" s="16"/>
      <c r="B415" s="16"/>
      <c r="C415" s="25"/>
      <c r="D415" s="16"/>
      <c r="E415" s="16"/>
      <c r="F415" s="16"/>
      <c r="G415" s="17"/>
    </row>
    <row r="416" spans="1:7" ht="18" customHeight="1">
      <c r="A416" s="16"/>
      <c r="B416" s="16"/>
      <c r="C416" s="25"/>
      <c r="D416" s="16"/>
      <c r="E416" s="16"/>
      <c r="F416" s="16"/>
      <c r="G416" s="17"/>
    </row>
    <row r="417" spans="1:7" ht="18" customHeight="1">
      <c r="A417" s="16"/>
      <c r="B417" s="16"/>
      <c r="C417" s="25"/>
      <c r="D417" s="16"/>
      <c r="E417" s="16"/>
      <c r="F417" s="16"/>
      <c r="G417" s="17"/>
    </row>
    <row r="418" spans="1:7" ht="18" customHeight="1">
      <c r="A418" s="16"/>
      <c r="B418" s="16"/>
      <c r="C418" s="25"/>
      <c r="D418" s="16"/>
      <c r="E418" s="16"/>
      <c r="F418" s="16"/>
      <c r="G418" s="17"/>
    </row>
    <row r="419" spans="1:7" ht="18" customHeight="1">
      <c r="A419" s="16"/>
      <c r="B419" s="16"/>
      <c r="C419" s="25"/>
      <c r="D419" s="16"/>
      <c r="E419" s="16"/>
      <c r="F419" s="16"/>
      <c r="G419" s="17"/>
    </row>
    <row r="420" spans="1:7" ht="18" customHeight="1">
      <c r="A420" s="16"/>
      <c r="B420" s="16"/>
      <c r="C420" s="25"/>
      <c r="D420" s="16"/>
      <c r="E420" s="16"/>
      <c r="F420" s="16"/>
      <c r="G420" s="17"/>
    </row>
    <row r="421" spans="1:7" ht="18" customHeight="1">
      <c r="A421" s="16"/>
      <c r="B421" s="16"/>
      <c r="C421" s="25"/>
      <c r="D421" s="16"/>
      <c r="E421" s="16"/>
      <c r="F421" s="16"/>
      <c r="G421" s="17"/>
    </row>
    <row r="422" spans="1:7" ht="18" customHeight="1">
      <c r="A422" s="16"/>
      <c r="B422" s="16"/>
      <c r="C422" s="25"/>
      <c r="D422" s="16"/>
      <c r="E422" s="16"/>
      <c r="F422" s="16"/>
      <c r="G422" s="17"/>
    </row>
    <row r="423" spans="1:7" ht="18" customHeight="1">
      <c r="A423" s="16"/>
      <c r="B423" s="16"/>
      <c r="C423" s="25"/>
      <c r="D423" s="16"/>
      <c r="E423" s="16"/>
      <c r="F423" s="16"/>
      <c r="G423" s="17"/>
    </row>
    <row r="424" spans="1:7" ht="18" customHeight="1">
      <c r="A424" s="16"/>
      <c r="B424" s="16"/>
      <c r="C424" s="25"/>
      <c r="D424" s="16"/>
      <c r="E424" s="16"/>
      <c r="F424" s="16"/>
      <c r="G424" s="17"/>
    </row>
    <row r="425" spans="1:7" ht="18" customHeight="1">
      <c r="A425" s="16"/>
      <c r="B425" s="16"/>
      <c r="C425" s="25"/>
      <c r="D425" s="16"/>
      <c r="E425" s="16"/>
      <c r="F425" s="16"/>
      <c r="G425" s="17"/>
    </row>
    <row r="426" spans="1:7" ht="18" customHeight="1">
      <c r="A426" s="16"/>
      <c r="B426" s="16"/>
      <c r="C426" s="25"/>
      <c r="D426" s="16"/>
      <c r="E426" s="16"/>
      <c r="F426" s="16"/>
      <c r="G426" s="17"/>
    </row>
    <row r="427" spans="1:7" ht="18" customHeight="1">
      <c r="A427" s="16"/>
      <c r="B427" s="16"/>
      <c r="C427" s="25"/>
      <c r="D427" s="16"/>
      <c r="E427" s="16"/>
      <c r="F427" s="16"/>
      <c r="G427" s="17"/>
    </row>
    <row r="428" spans="1:7" ht="18" customHeight="1">
      <c r="A428" s="16"/>
      <c r="B428" s="16"/>
      <c r="C428" s="25"/>
      <c r="D428" s="16"/>
      <c r="E428" s="16"/>
      <c r="F428" s="16"/>
      <c r="G428" s="17"/>
    </row>
    <row r="429" spans="1:7" ht="18" customHeight="1">
      <c r="A429" s="16"/>
      <c r="B429" s="16"/>
      <c r="C429" s="25"/>
      <c r="D429" s="16"/>
      <c r="E429" s="16"/>
      <c r="F429" s="16"/>
      <c r="G429" s="17"/>
    </row>
    <row r="430" spans="1:7" ht="18" customHeight="1">
      <c r="A430" s="16"/>
      <c r="B430" s="16"/>
      <c r="C430" s="25"/>
      <c r="D430" s="16"/>
      <c r="E430" s="16"/>
      <c r="F430" s="16"/>
      <c r="G430" s="17"/>
    </row>
    <row r="431" spans="1:7" ht="18" customHeight="1">
      <c r="A431" s="16"/>
      <c r="B431" s="16"/>
      <c r="C431" s="25"/>
      <c r="D431" s="16"/>
      <c r="E431" s="16"/>
      <c r="F431" s="16"/>
      <c r="G431" s="17"/>
    </row>
    <row r="432" spans="1:7" ht="18" customHeight="1">
      <c r="A432" s="16"/>
      <c r="B432" s="16"/>
      <c r="C432" s="25"/>
      <c r="D432" s="16"/>
      <c r="E432" s="16"/>
      <c r="F432" s="16"/>
      <c r="G432" s="17"/>
    </row>
    <row r="433" spans="1:7" ht="18" customHeight="1">
      <c r="A433" s="16"/>
      <c r="B433" s="16"/>
      <c r="C433" s="25"/>
      <c r="D433" s="16"/>
      <c r="E433" s="16"/>
      <c r="F433" s="16"/>
      <c r="G433" s="17"/>
    </row>
    <row r="434" spans="1:7" ht="18" customHeight="1">
      <c r="A434" s="16"/>
      <c r="B434" s="16"/>
      <c r="C434" s="25"/>
      <c r="D434" s="16"/>
      <c r="E434" s="16"/>
      <c r="F434" s="16"/>
      <c r="G434" s="17"/>
    </row>
    <row r="435" spans="1:7" ht="18" customHeight="1">
      <c r="A435" s="16"/>
      <c r="B435" s="16"/>
      <c r="C435" s="25"/>
      <c r="D435" s="16"/>
      <c r="E435" s="16"/>
      <c r="F435" s="16"/>
      <c r="G435" s="17"/>
    </row>
    <row r="436" spans="1:7" ht="18" customHeight="1">
      <c r="A436" s="16"/>
      <c r="B436" s="16"/>
      <c r="C436" s="25"/>
      <c r="D436" s="16"/>
      <c r="E436" s="16"/>
      <c r="F436" s="16"/>
      <c r="G436" s="17"/>
    </row>
    <row r="437" spans="1:7" ht="18" customHeight="1">
      <c r="A437" s="16"/>
      <c r="B437" s="16"/>
      <c r="C437" s="25"/>
      <c r="D437" s="16"/>
      <c r="E437" s="16"/>
      <c r="F437" s="16"/>
      <c r="G437" s="17"/>
    </row>
    <row r="438" spans="1:7" ht="18" customHeight="1">
      <c r="A438" s="16"/>
      <c r="B438" s="16"/>
      <c r="C438" s="25"/>
      <c r="D438" s="16"/>
      <c r="E438" s="16"/>
      <c r="F438" s="16"/>
      <c r="G438" s="17"/>
    </row>
    <row r="439" spans="1:7" ht="18" customHeight="1">
      <c r="A439" s="16"/>
      <c r="B439" s="16"/>
      <c r="C439" s="25"/>
      <c r="D439" s="16"/>
      <c r="E439" s="16"/>
      <c r="F439" s="16"/>
      <c r="G439" s="17"/>
    </row>
    <row r="440" spans="1:7" ht="18" customHeight="1">
      <c r="A440" s="16"/>
      <c r="B440" s="16"/>
      <c r="C440" s="25"/>
      <c r="D440" s="16"/>
      <c r="E440" s="16"/>
      <c r="F440" s="16"/>
      <c r="G440" s="17"/>
    </row>
    <row r="441" spans="1:7" ht="18" customHeight="1">
      <c r="A441" s="16"/>
      <c r="B441" s="16"/>
      <c r="C441" s="25"/>
      <c r="D441" s="16"/>
      <c r="E441" s="16"/>
      <c r="F441" s="16"/>
      <c r="G441" s="17"/>
    </row>
    <row r="442" spans="1:7" ht="18" customHeight="1">
      <c r="A442" s="16"/>
      <c r="B442" s="16"/>
      <c r="C442" s="25"/>
      <c r="D442" s="16"/>
      <c r="E442" s="16"/>
      <c r="F442" s="16"/>
      <c r="G442" s="17"/>
    </row>
    <row r="443" spans="1:7" ht="18" customHeight="1">
      <c r="A443" s="16"/>
      <c r="B443" s="16"/>
      <c r="C443" s="25"/>
      <c r="D443" s="16"/>
      <c r="E443" s="16"/>
      <c r="F443" s="16"/>
      <c r="G443" s="17"/>
    </row>
    <row r="444" spans="1:7" ht="18" customHeight="1">
      <c r="A444" s="16"/>
      <c r="B444" s="16"/>
      <c r="C444" s="25"/>
      <c r="D444" s="16"/>
      <c r="E444" s="16"/>
      <c r="F444" s="16"/>
      <c r="G444" s="17"/>
    </row>
    <row r="445" spans="1:7" ht="18" customHeight="1">
      <c r="A445" s="16"/>
      <c r="B445" s="16"/>
      <c r="C445" s="25"/>
      <c r="D445" s="16"/>
      <c r="E445" s="16"/>
      <c r="F445" s="16"/>
      <c r="G445" s="17"/>
    </row>
    <row r="446" spans="1:7" ht="18" customHeight="1">
      <c r="A446" s="16"/>
      <c r="B446" s="16"/>
      <c r="C446" s="25"/>
      <c r="D446" s="16"/>
      <c r="E446" s="16"/>
      <c r="F446" s="16"/>
      <c r="G446" s="17"/>
    </row>
    <row r="447" spans="1:7" ht="18" customHeight="1">
      <c r="A447" s="16"/>
      <c r="B447" s="16"/>
      <c r="C447" s="25"/>
      <c r="D447" s="16"/>
      <c r="E447" s="16"/>
      <c r="F447" s="16"/>
      <c r="G447" s="17"/>
    </row>
    <row r="448" spans="1:7" ht="18" customHeight="1">
      <c r="A448" s="16"/>
      <c r="B448" s="16"/>
      <c r="C448" s="25"/>
      <c r="D448" s="16"/>
      <c r="E448" s="16"/>
      <c r="F448" s="16"/>
      <c r="G448" s="17"/>
    </row>
    <row r="449" spans="1:7" ht="18" customHeight="1">
      <c r="A449" s="16"/>
      <c r="B449" s="16"/>
      <c r="C449" s="25"/>
      <c r="D449" s="16"/>
      <c r="E449" s="16"/>
      <c r="F449" s="16"/>
      <c r="G449" s="17"/>
    </row>
    <row r="450" spans="1:7" ht="18" customHeight="1">
      <c r="A450" s="16"/>
      <c r="B450" s="16"/>
      <c r="C450" s="25"/>
      <c r="D450" s="16"/>
      <c r="E450" s="16"/>
      <c r="F450" s="16"/>
      <c r="G450" s="17"/>
    </row>
    <row r="451" spans="1:7" ht="18" customHeight="1">
      <c r="A451" s="16"/>
      <c r="B451" s="16"/>
      <c r="C451" s="25"/>
      <c r="D451" s="16"/>
      <c r="E451" s="16"/>
      <c r="F451" s="16"/>
      <c r="G451" s="17"/>
    </row>
    <row r="452" spans="1:7" ht="18" customHeight="1">
      <c r="A452" s="16"/>
      <c r="B452" s="16"/>
      <c r="C452" s="25"/>
      <c r="D452" s="16"/>
      <c r="E452" s="16"/>
      <c r="F452" s="16"/>
      <c r="G452" s="17"/>
    </row>
    <row r="453" spans="1:7" ht="18" customHeight="1">
      <c r="A453" s="16"/>
      <c r="B453" s="16"/>
      <c r="C453" s="25"/>
      <c r="D453" s="16"/>
      <c r="E453" s="16"/>
      <c r="F453" s="16"/>
      <c r="G453" s="17"/>
    </row>
    <row r="454" spans="1:7" ht="18" customHeight="1">
      <c r="A454" s="16"/>
      <c r="B454" s="16"/>
      <c r="C454" s="25"/>
      <c r="D454" s="16"/>
      <c r="E454" s="16"/>
      <c r="F454" s="16"/>
      <c r="G454" s="17"/>
    </row>
    <row r="455" spans="1:7" ht="18" customHeight="1">
      <c r="A455" s="16"/>
      <c r="B455" s="16"/>
      <c r="C455" s="25"/>
      <c r="D455" s="16"/>
      <c r="E455" s="16"/>
      <c r="F455" s="16"/>
      <c r="G455" s="17"/>
    </row>
    <row r="456" spans="1:7" ht="18" customHeight="1">
      <c r="A456" s="16"/>
      <c r="B456" s="16"/>
      <c r="C456" s="25"/>
      <c r="D456" s="16"/>
      <c r="E456" s="16"/>
      <c r="F456" s="16"/>
      <c r="G456" s="17"/>
    </row>
    <row r="457" spans="1:7" ht="18" customHeight="1">
      <c r="A457" s="16"/>
      <c r="B457" s="16"/>
      <c r="C457" s="25"/>
      <c r="D457" s="16"/>
      <c r="E457" s="16"/>
      <c r="F457" s="16"/>
      <c r="G457" s="17"/>
    </row>
    <row r="458" spans="1:7" ht="18" customHeight="1">
      <c r="A458" s="16"/>
      <c r="B458" s="16"/>
      <c r="C458" s="25"/>
      <c r="D458" s="16"/>
      <c r="E458" s="16"/>
      <c r="F458" s="16"/>
      <c r="G458" s="17"/>
    </row>
    <row r="459" spans="1:7" ht="18" customHeight="1">
      <c r="A459" s="16"/>
      <c r="B459" s="16"/>
      <c r="C459" s="25"/>
      <c r="D459" s="16"/>
      <c r="E459" s="16"/>
      <c r="F459" s="16"/>
      <c r="G459" s="17"/>
    </row>
    <row r="460" spans="1:7" ht="18" customHeight="1">
      <c r="A460" s="16"/>
      <c r="B460" s="16"/>
      <c r="C460" s="25"/>
      <c r="D460" s="16"/>
      <c r="E460" s="16"/>
      <c r="F460" s="16"/>
      <c r="G460" s="17"/>
    </row>
    <row r="461" spans="1:7" ht="18" customHeight="1">
      <c r="A461" s="16"/>
      <c r="B461" s="16"/>
      <c r="C461" s="25"/>
      <c r="D461" s="16"/>
      <c r="E461" s="16"/>
      <c r="F461" s="16"/>
      <c r="G461" s="17"/>
    </row>
    <row r="462" spans="1:7" ht="18" customHeight="1">
      <c r="A462" s="16"/>
      <c r="B462" s="16"/>
      <c r="C462" s="25"/>
      <c r="D462" s="16"/>
      <c r="E462" s="16"/>
      <c r="F462" s="16"/>
      <c r="G462" s="17"/>
    </row>
    <row r="463" spans="1:7" ht="18" customHeight="1">
      <c r="A463" s="16"/>
      <c r="B463" s="16"/>
      <c r="C463" s="25"/>
      <c r="D463" s="16"/>
      <c r="E463" s="16"/>
      <c r="F463" s="16"/>
      <c r="G463" s="17"/>
    </row>
    <row r="464" spans="1:7" ht="18" customHeight="1">
      <c r="A464" s="16"/>
      <c r="B464" s="16"/>
      <c r="C464" s="25"/>
      <c r="D464" s="16"/>
      <c r="E464" s="16"/>
      <c r="F464" s="16"/>
      <c r="G464" s="17"/>
    </row>
    <row r="465" spans="1:7" ht="18" customHeight="1">
      <c r="A465" s="16"/>
      <c r="B465" s="16"/>
      <c r="C465" s="25"/>
      <c r="D465" s="16"/>
      <c r="E465" s="16"/>
      <c r="F465" s="16"/>
      <c r="G465" s="17"/>
    </row>
    <row r="466" spans="1:7" ht="18" customHeight="1">
      <c r="A466" s="16"/>
      <c r="B466" s="16"/>
      <c r="C466" s="25"/>
      <c r="D466" s="16"/>
      <c r="E466" s="16"/>
      <c r="F466" s="16"/>
      <c r="G466" s="17"/>
    </row>
    <row r="467" spans="1:7" ht="18" customHeight="1">
      <c r="A467" s="16"/>
      <c r="B467" s="16"/>
      <c r="C467" s="25"/>
      <c r="D467" s="16"/>
      <c r="E467" s="16"/>
      <c r="F467" s="16"/>
      <c r="G467" s="17"/>
    </row>
    <row r="468" spans="1:7" ht="18" customHeight="1">
      <c r="A468" s="16"/>
      <c r="B468" s="16"/>
      <c r="C468" s="25"/>
      <c r="D468" s="16"/>
      <c r="E468" s="16"/>
      <c r="F468" s="16"/>
      <c r="G468" s="17"/>
    </row>
    <row r="469" spans="1:7" ht="18" customHeight="1">
      <c r="A469" s="16"/>
      <c r="B469" s="16"/>
      <c r="C469" s="25"/>
      <c r="D469" s="16"/>
      <c r="E469" s="16"/>
      <c r="F469" s="16"/>
      <c r="G469" s="17"/>
    </row>
    <row r="470" spans="1:7" ht="18" customHeight="1">
      <c r="A470" s="16"/>
      <c r="B470" s="16"/>
      <c r="C470" s="25"/>
      <c r="D470" s="16"/>
      <c r="E470" s="16"/>
      <c r="F470" s="16"/>
      <c r="G470" s="17"/>
    </row>
    <row r="471" spans="1:7" ht="18" customHeight="1">
      <c r="A471" s="16"/>
      <c r="B471" s="16"/>
      <c r="C471" s="25"/>
      <c r="D471" s="16"/>
      <c r="E471" s="16"/>
      <c r="F471" s="16"/>
      <c r="G471" s="17"/>
    </row>
    <row r="472" spans="1:7" ht="18" customHeight="1">
      <c r="A472" s="16"/>
      <c r="B472" s="16"/>
      <c r="C472" s="25"/>
      <c r="D472" s="16"/>
      <c r="E472" s="16"/>
      <c r="F472" s="16"/>
      <c r="G472" s="17"/>
    </row>
    <row r="473" spans="1:7" ht="18" customHeight="1">
      <c r="A473" s="16"/>
      <c r="B473" s="16"/>
      <c r="C473" s="25"/>
      <c r="D473" s="16"/>
      <c r="E473" s="16"/>
      <c r="F473" s="16"/>
      <c r="G473" s="17"/>
    </row>
    <row r="474" spans="1:7" ht="18" customHeight="1">
      <c r="A474" s="16"/>
      <c r="B474" s="16"/>
      <c r="C474" s="25"/>
      <c r="D474" s="16"/>
      <c r="E474" s="16"/>
      <c r="F474" s="16"/>
      <c r="G474" s="17"/>
    </row>
    <row r="475" spans="1:7" ht="18" customHeight="1">
      <c r="A475" s="16"/>
      <c r="B475" s="16"/>
      <c r="C475" s="25"/>
      <c r="D475" s="16"/>
      <c r="E475" s="16"/>
      <c r="F475" s="16"/>
      <c r="G475" s="17"/>
    </row>
    <row r="476" spans="1:7" ht="18" customHeight="1">
      <c r="A476" s="16"/>
      <c r="B476" s="16"/>
      <c r="C476" s="25"/>
      <c r="D476" s="16"/>
      <c r="E476" s="16"/>
      <c r="F476" s="16"/>
      <c r="G476" s="17"/>
    </row>
    <row r="477" spans="1:7" ht="18" customHeight="1">
      <c r="A477" s="16"/>
      <c r="B477" s="16"/>
      <c r="C477" s="25"/>
      <c r="D477" s="16"/>
      <c r="E477" s="16"/>
      <c r="F477" s="16"/>
      <c r="G477" s="17"/>
    </row>
    <row r="478" spans="1:7" ht="18" customHeight="1">
      <c r="A478" s="16"/>
      <c r="B478" s="16"/>
      <c r="C478" s="25"/>
      <c r="D478" s="16"/>
      <c r="E478" s="16"/>
      <c r="F478" s="16"/>
      <c r="G478" s="17"/>
    </row>
    <row r="479" spans="1:7" ht="18" customHeight="1">
      <c r="A479" s="16"/>
      <c r="B479" s="16"/>
      <c r="C479" s="25"/>
      <c r="D479" s="16"/>
      <c r="E479" s="16"/>
      <c r="F479" s="16"/>
      <c r="G479" s="17"/>
    </row>
    <row r="480" spans="1:7" ht="18" customHeight="1">
      <c r="A480" s="16"/>
      <c r="B480" s="16"/>
      <c r="C480" s="25"/>
      <c r="D480" s="16"/>
      <c r="E480" s="16"/>
      <c r="F480" s="16"/>
      <c r="G480" s="17"/>
    </row>
    <row r="481" spans="1:7" ht="18" customHeight="1">
      <c r="A481" s="16"/>
      <c r="B481" s="16"/>
      <c r="C481" s="25"/>
      <c r="D481" s="16"/>
      <c r="E481" s="16"/>
      <c r="F481" s="16"/>
      <c r="G481" s="17"/>
    </row>
    <row r="482" spans="1:7" ht="18" customHeight="1">
      <c r="A482" s="16"/>
      <c r="B482" s="16"/>
      <c r="C482" s="25"/>
      <c r="D482" s="16"/>
      <c r="E482" s="16"/>
      <c r="F482" s="16"/>
      <c r="G482" s="17"/>
    </row>
    <row r="483" spans="1:7" ht="18" customHeight="1">
      <c r="A483" s="16"/>
      <c r="B483" s="16"/>
      <c r="C483" s="25"/>
      <c r="D483" s="16"/>
      <c r="E483" s="16"/>
      <c r="F483" s="16"/>
      <c r="G483" s="17"/>
    </row>
    <row r="484" spans="1:7" ht="18" customHeight="1">
      <c r="A484" s="16"/>
      <c r="B484" s="16"/>
      <c r="C484" s="25"/>
      <c r="D484" s="16"/>
      <c r="E484" s="16"/>
      <c r="F484" s="16"/>
      <c r="G484" s="17"/>
    </row>
    <row r="485" spans="1:7" ht="18" customHeight="1">
      <c r="A485" s="16"/>
      <c r="B485" s="16"/>
      <c r="C485" s="25"/>
      <c r="D485" s="16"/>
      <c r="E485" s="16"/>
      <c r="F485" s="16"/>
      <c r="G485" s="17"/>
    </row>
    <row r="486" spans="1:7" ht="18" customHeight="1">
      <c r="A486" s="16"/>
      <c r="B486" s="16"/>
      <c r="C486" s="25"/>
      <c r="D486" s="16"/>
      <c r="E486" s="16"/>
      <c r="F486" s="16"/>
      <c r="G486" s="17"/>
    </row>
    <row r="487" spans="1:7" ht="18" customHeight="1">
      <c r="A487" s="16"/>
      <c r="B487" s="16"/>
      <c r="C487" s="25"/>
      <c r="D487" s="16"/>
      <c r="E487" s="16"/>
      <c r="F487" s="16"/>
      <c r="G487" s="17"/>
    </row>
    <row r="488" spans="1:7" ht="18" customHeight="1">
      <c r="A488" s="16"/>
      <c r="B488" s="16"/>
      <c r="C488" s="25"/>
      <c r="D488" s="16"/>
      <c r="E488" s="16"/>
      <c r="F488" s="16"/>
      <c r="G488" s="17"/>
    </row>
    <row r="489" spans="1:7" ht="18" customHeight="1">
      <c r="A489" s="16"/>
      <c r="B489" s="16"/>
      <c r="C489" s="25"/>
      <c r="D489" s="16"/>
      <c r="E489" s="16"/>
      <c r="F489" s="16"/>
      <c r="G489" s="17"/>
    </row>
    <row r="490" spans="1:7" ht="18" customHeight="1">
      <c r="A490" s="16"/>
      <c r="B490" s="16"/>
      <c r="C490" s="25"/>
      <c r="D490" s="16"/>
      <c r="E490" s="16"/>
      <c r="F490" s="16"/>
      <c r="G490" s="17"/>
    </row>
    <row r="491" spans="1:7" ht="18" customHeight="1">
      <c r="A491" s="16"/>
      <c r="B491" s="16"/>
      <c r="C491" s="25"/>
      <c r="D491" s="16"/>
      <c r="E491" s="16"/>
      <c r="F491" s="16"/>
      <c r="G491" s="17"/>
    </row>
    <row r="492" spans="1:7" ht="18" customHeight="1">
      <c r="A492" s="16"/>
      <c r="B492" s="16"/>
      <c r="C492" s="25"/>
      <c r="D492" s="16"/>
      <c r="E492" s="16"/>
      <c r="F492" s="16"/>
      <c r="G492" s="17"/>
    </row>
    <row r="493" spans="1:7" ht="18" customHeight="1">
      <c r="A493" s="16"/>
      <c r="B493" s="16"/>
      <c r="C493" s="25"/>
      <c r="D493" s="16"/>
      <c r="E493" s="16"/>
      <c r="F493" s="16"/>
      <c r="G493" s="17"/>
    </row>
    <row r="494" spans="1:7" ht="18" customHeight="1">
      <c r="A494" s="16"/>
      <c r="B494" s="16"/>
      <c r="C494" s="25"/>
      <c r="D494" s="16"/>
      <c r="E494" s="16"/>
      <c r="F494" s="16"/>
      <c r="G494" s="17"/>
    </row>
    <row r="495" spans="1:7" ht="18" customHeight="1">
      <c r="A495" s="16"/>
      <c r="B495" s="16"/>
      <c r="C495" s="25"/>
      <c r="D495" s="16"/>
      <c r="E495" s="16"/>
      <c r="F495" s="16"/>
      <c r="G495" s="17"/>
    </row>
    <row r="496" spans="1:7" ht="18" customHeight="1">
      <c r="A496" s="16"/>
      <c r="B496" s="16"/>
      <c r="C496" s="25"/>
      <c r="D496" s="16"/>
      <c r="E496" s="16"/>
      <c r="F496" s="16"/>
      <c r="G496" s="17"/>
    </row>
    <row r="497" spans="1:7" ht="18" customHeight="1">
      <c r="A497" s="16"/>
      <c r="B497" s="16"/>
      <c r="C497" s="25"/>
      <c r="D497" s="16"/>
      <c r="E497" s="16"/>
      <c r="F497" s="16"/>
      <c r="G497" s="17"/>
    </row>
    <row r="498" spans="1:7" ht="18" customHeight="1">
      <c r="A498" s="16"/>
      <c r="B498" s="16"/>
      <c r="C498" s="25"/>
      <c r="D498" s="16"/>
      <c r="E498" s="16"/>
      <c r="F498" s="16"/>
      <c r="G498" s="17"/>
    </row>
    <row r="499" spans="1:7" ht="18" customHeight="1">
      <c r="A499" s="16"/>
      <c r="B499" s="16"/>
      <c r="C499" s="25"/>
      <c r="D499" s="16"/>
      <c r="E499" s="16"/>
      <c r="F499" s="16"/>
      <c r="G499" s="17"/>
    </row>
    <row r="500" spans="1:7" ht="18" customHeight="1">
      <c r="A500" s="16"/>
      <c r="B500" s="16"/>
      <c r="C500" s="25"/>
      <c r="D500" s="16"/>
      <c r="E500" s="16"/>
      <c r="F500" s="16"/>
      <c r="G500" s="17"/>
    </row>
    <row r="501" spans="1:7" ht="18" customHeight="1">
      <c r="A501" s="16"/>
      <c r="B501" s="16"/>
      <c r="C501" s="25"/>
      <c r="D501" s="16"/>
      <c r="E501" s="16"/>
      <c r="F501" s="16"/>
      <c r="G501" s="17"/>
    </row>
    <row r="502" spans="1:7" ht="18" customHeight="1">
      <c r="A502" s="16"/>
      <c r="B502" s="16"/>
      <c r="C502" s="25"/>
      <c r="D502" s="16"/>
      <c r="E502" s="16"/>
      <c r="F502" s="16"/>
      <c r="G502" s="17"/>
    </row>
    <row r="503" spans="1:7" ht="18" customHeight="1">
      <c r="A503" s="16"/>
      <c r="B503" s="16"/>
      <c r="C503" s="25"/>
      <c r="D503" s="16"/>
      <c r="E503" s="16"/>
      <c r="F503" s="16"/>
      <c r="G503" s="17"/>
    </row>
    <row r="504" spans="1:7" ht="18" customHeight="1">
      <c r="A504" s="16"/>
      <c r="B504" s="16"/>
      <c r="C504" s="25"/>
      <c r="D504" s="16"/>
      <c r="E504" s="16"/>
      <c r="F504" s="16"/>
      <c r="G504" s="17"/>
    </row>
    <row r="505" spans="1:7" ht="18" customHeight="1">
      <c r="A505" s="16"/>
      <c r="B505" s="16"/>
      <c r="C505" s="25"/>
      <c r="D505" s="16"/>
      <c r="E505" s="16"/>
      <c r="F505" s="16"/>
      <c r="G505" s="17"/>
    </row>
    <row r="506" spans="1:7" ht="18" customHeight="1">
      <c r="A506" s="16"/>
      <c r="B506" s="16"/>
      <c r="C506" s="25"/>
      <c r="D506" s="16"/>
      <c r="E506" s="16"/>
      <c r="F506" s="16"/>
      <c r="G506" s="17"/>
    </row>
    <row r="507" spans="1:7" ht="18" customHeight="1">
      <c r="A507" s="16"/>
      <c r="B507" s="16"/>
      <c r="C507" s="25"/>
      <c r="D507" s="16"/>
      <c r="E507" s="16"/>
      <c r="F507" s="16"/>
      <c r="G507" s="17"/>
    </row>
    <row r="508" spans="1:7" ht="18" customHeight="1">
      <c r="A508" s="16"/>
      <c r="B508" s="16"/>
      <c r="C508" s="25"/>
      <c r="D508" s="16"/>
      <c r="E508" s="16"/>
      <c r="F508" s="16"/>
      <c r="G508" s="17"/>
    </row>
    <row r="509" spans="1:7" ht="18" customHeight="1">
      <c r="A509" s="16"/>
      <c r="B509" s="16"/>
      <c r="C509" s="25"/>
      <c r="D509" s="16"/>
      <c r="E509" s="16"/>
      <c r="F509" s="16"/>
      <c r="G509" s="17"/>
    </row>
    <row r="510" spans="1:7" ht="18" customHeight="1">
      <c r="A510" s="16"/>
      <c r="B510" s="16"/>
      <c r="C510" s="25"/>
      <c r="D510" s="16"/>
      <c r="E510" s="16"/>
      <c r="F510" s="16"/>
      <c r="G510" s="17"/>
    </row>
    <row r="511" spans="1:7" ht="18" customHeight="1">
      <c r="A511" s="16"/>
      <c r="B511" s="16"/>
      <c r="C511" s="25"/>
      <c r="D511" s="16"/>
      <c r="E511" s="16"/>
      <c r="F511" s="16"/>
      <c r="G511" s="17"/>
    </row>
    <row r="512" spans="1:7" ht="18" customHeight="1">
      <c r="A512" s="16"/>
      <c r="B512" s="16"/>
      <c r="C512" s="25"/>
      <c r="D512" s="16"/>
      <c r="E512" s="16"/>
      <c r="F512" s="16"/>
      <c r="G512" s="17"/>
    </row>
    <row r="513" spans="1:7" ht="18" customHeight="1">
      <c r="A513" s="16"/>
      <c r="B513" s="16"/>
      <c r="C513" s="25"/>
      <c r="D513" s="16"/>
      <c r="E513" s="16"/>
      <c r="F513" s="16"/>
      <c r="G513" s="17"/>
    </row>
    <row r="514" spans="1:7" ht="18" customHeight="1">
      <c r="A514" s="16"/>
      <c r="B514" s="16"/>
      <c r="C514" s="25"/>
      <c r="D514" s="16"/>
      <c r="E514" s="16"/>
      <c r="F514" s="16"/>
      <c r="G514" s="17"/>
    </row>
    <row r="515" spans="1:7" ht="18" customHeight="1">
      <c r="A515" s="16"/>
      <c r="B515" s="16"/>
      <c r="C515" s="25"/>
      <c r="D515" s="16"/>
      <c r="E515" s="16"/>
      <c r="F515" s="16"/>
      <c r="G515" s="17"/>
    </row>
    <row r="516" spans="1:7" ht="18" customHeight="1">
      <c r="A516" s="16"/>
      <c r="B516" s="16"/>
      <c r="C516" s="25"/>
      <c r="D516" s="16"/>
      <c r="E516" s="16"/>
      <c r="F516" s="16"/>
      <c r="G516" s="17"/>
    </row>
    <row r="517" spans="1:7" ht="18" customHeight="1">
      <c r="A517" s="16"/>
      <c r="B517" s="16"/>
      <c r="C517" s="25"/>
      <c r="D517" s="16"/>
      <c r="E517" s="16"/>
      <c r="F517" s="16"/>
      <c r="G517" s="17"/>
    </row>
    <row r="518" spans="1:7" ht="18" customHeight="1">
      <c r="A518" s="16"/>
      <c r="B518" s="16"/>
      <c r="C518" s="25"/>
      <c r="D518" s="16"/>
      <c r="E518" s="16"/>
      <c r="F518" s="16"/>
      <c r="G518" s="17"/>
    </row>
    <row r="519" spans="1:7" ht="18" customHeight="1">
      <c r="A519" s="16"/>
      <c r="B519" s="16"/>
      <c r="C519" s="25"/>
      <c r="D519" s="16"/>
      <c r="E519" s="16"/>
      <c r="F519" s="16"/>
      <c r="G519" s="17"/>
    </row>
    <row r="520" spans="1:7" ht="18" customHeight="1">
      <c r="A520" s="16"/>
      <c r="B520" s="16"/>
      <c r="C520" s="25"/>
      <c r="D520" s="16"/>
      <c r="E520" s="16"/>
      <c r="F520" s="16"/>
      <c r="G520" s="17"/>
    </row>
    <row r="521" spans="1:7" ht="18" customHeight="1">
      <c r="A521" s="16"/>
      <c r="B521" s="16"/>
      <c r="C521" s="25"/>
      <c r="D521" s="16"/>
      <c r="E521" s="16"/>
      <c r="F521" s="16"/>
      <c r="G521" s="17"/>
    </row>
    <row r="522" spans="1:7" ht="18" customHeight="1">
      <c r="A522" s="16"/>
      <c r="B522" s="16"/>
      <c r="C522" s="25"/>
      <c r="D522" s="16"/>
      <c r="E522" s="16"/>
      <c r="F522" s="16"/>
      <c r="G522" s="17"/>
    </row>
    <row r="523" spans="1:7" ht="18" customHeight="1">
      <c r="A523" s="16"/>
      <c r="B523" s="16"/>
      <c r="C523" s="25"/>
      <c r="D523" s="16"/>
      <c r="E523" s="16"/>
      <c r="F523" s="16"/>
      <c r="G523" s="17"/>
    </row>
    <row r="524" spans="1:7" ht="18" customHeight="1">
      <c r="A524" s="16"/>
      <c r="B524" s="16"/>
      <c r="C524" s="25"/>
      <c r="D524" s="16"/>
      <c r="E524" s="16"/>
      <c r="F524" s="16"/>
      <c r="G524" s="17"/>
    </row>
    <row r="525" spans="1:7" ht="18" customHeight="1">
      <c r="A525" s="16"/>
      <c r="B525" s="16"/>
      <c r="C525" s="25"/>
      <c r="D525" s="16"/>
      <c r="E525" s="16"/>
      <c r="F525" s="16"/>
      <c r="G525" s="17"/>
    </row>
    <row r="526" spans="1:7" ht="18" customHeight="1">
      <c r="A526" s="16"/>
      <c r="B526" s="16"/>
      <c r="C526" s="25"/>
      <c r="D526" s="16"/>
      <c r="E526" s="16"/>
      <c r="F526" s="16"/>
      <c r="G526" s="17"/>
    </row>
    <row r="527" spans="1:7" ht="18" customHeight="1">
      <c r="A527" s="16"/>
      <c r="B527" s="16"/>
      <c r="C527" s="25"/>
      <c r="D527" s="16"/>
      <c r="E527" s="16"/>
      <c r="F527" s="16"/>
      <c r="G527" s="17"/>
    </row>
    <row r="528" spans="1:7" ht="18" customHeight="1">
      <c r="A528" s="16"/>
      <c r="B528" s="16"/>
      <c r="C528" s="25"/>
      <c r="D528" s="16"/>
      <c r="E528" s="16"/>
      <c r="F528" s="16"/>
      <c r="G528" s="17"/>
    </row>
    <row r="529" spans="1:7" ht="18" customHeight="1">
      <c r="A529" s="16"/>
      <c r="B529" s="16"/>
      <c r="C529" s="25"/>
      <c r="D529" s="16"/>
      <c r="E529" s="16"/>
      <c r="F529" s="16"/>
      <c r="G529" s="17"/>
    </row>
    <row r="530" spans="1:7" ht="18" customHeight="1">
      <c r="A530" s="16"/>
      <c r="B530" s="16"/>
      <c r="C530" s="25"/>
      <c r="D530" s="16"/>
      <c r="E530" s="16"/>
      <c r="F530" s="16"/>
      <c r="G530" s="17"/>
    </row>
    <row r="531" spans="1:7" ht="18" customHeight="1">
      <c r="A531" s="16"/>
      <c r="B531" s="16"/>
      <c r="C531" s="25"/>
      <c r="D531" s="16"/>
      <c r="E531" s="16"/>
      <c r="F531" s="16"/>
      <c r="G531" s="17"/>
    </row>
    <row r="532" spans="1:7" ht="18" customHeight="1">
      <c r="A532" s="16"/>
      <c r="B532" s="16"/>
      <c r="C532" s="25"/>
      <c r="D532" s="16"/>
      <c r="E532" s="16"/>
      <c r="F532" s="16"/>
      <c r="G532" s="17"/>
    </row>
    <row r="533" spans="1:7" ht="18" customHeight="1">
      <c r="A533" s="16"/>
      <c r="B533" s="16"/>
      <c r="C533" s="25"/>
      <c r="D533" s="16"/>
      <c r="E533" s="16"/>
      <c r="F533" s="16"/>
      <c r="G533" s="17"/>
    </row>
    <row r="534" spans="1:7" ht="18" customHeight="1">
      <c r="A534" s="16"/>
      <c r="B534" s="16"/>
      <c r="C534" s="25"/>
      <c r="D534" s="16"/>
      <c r="E534" s="16"/>
      <c r="F534" s="16"/>
      <c r="G534" s="17"/>
    </row>
    <row r="535" spans="1:7" ht="18" customHeight="1">
      <c r="A535" s="16"/>
      <c r="B535" s="16"/>
      <c r="C535" s="25"/>
      <c r="D535" s="16"/>
      <c r="E535" s="16"/>
      <c r="F535" s="16"/>
      <c r="G535" s="17"/>
    </row>
    <row r="536" spans="1:7" ht="18" customHeight="1">
      <c r="A536" s="16"/>
      <c r="B536" s="16"/>
      <c r="C536" s="25"/>
      <c r="D536" s="16"/>
      <c r="E536" s="16"/>
      <c r="F536" s="16"/>
      <c r="G536" s="17"/>
    </row>
    <row r="537" spans="1:7" ht="18" customHeight="1">
      <c r="A537" s="16"/>
      <c r="B537" s="16"/>
      <c r="C537" s="25"/>
      <c r="D537" s="16"/>
      <c r="E537" s="16"/>
      <c r="F537" s="16"/>
      <c r="G537" s="17"/>
    </row>
    <row r="538" spans="1:7" ht="18" customHeight="1">
      <c r="A538" s="16"/>
      <c r="B538" s="16"/>
      <c r="C538" s="25"/>
      <c r="D538" s="16"/>
      <c r="E538" s="16"/>
      <c r="F538" s="16"/>
      <c r="G538" s="17"/>
    </row>
    <row r="539" spans="1:7" ht="18" customHeight="1">
      <c r="A539" s="16"/>
      <c r="B539" s="16"/>
      <c r="C539" s="25"/>
      <c r="D539" s="16"/>
      <c r="E539" s="16"/>
      <c r="F539" s="16"/>
      <c r="G539" s="17"/>
    </row>
    <row r="540" spans="1:7" ht="18" customHeight="1">
      <c r="A540" s="16"/>
      <c r="B540" s="16"/>
      <c r="C540" s="25"/>
      <c r="D540" s="16"/>
      <c r="E540" s="16"/>
      <c r="F540" s="16"/>
      <c r="G540" s="17"/>
    </row>
    <row r="541" spans="1:7" ht="18" customHeight="1">
      <c r="A541" s="16"/>
      <c r="B541" s="16"/>
      <c r="C541" s="25"/>
      <c r="D541" s="16"/>
      <c r="E541" s="16"/>
      <c r="F541" s="16"/>
      <c r="G541" s="17"/>
    </row>
    <row r="542" spans="1:7" ht="18" customHeight="1">
      <c r="A542" s="16"/>
      <c r="B542" s="16"/>
      <c r="C542" s="25"/>
      <c r="D542" s="16"/>
      <c r="E542" s="16"/>
      <c r="F542" s="16"/>
      <c r="G542" s="17"/>
    </row>
    <row r="543" spans="1:7" ht="18" customHeight="1">
      <c r="A543" s="16"/>
      <c r="B543" s="16"/>
      <c r="C543" s="25"/>
      <c r="D543" s="16"/>
      <c r="E543" s="16"/>
      <c r="F543" s="16"/>
      <c r="G543" s="17"/>
    </row>
    <row r="544" spans="1:7" ht="18" customHeight="1">
      <c r="A544" s="16"/>
      <c r="B544" s="16"/>
      <c r="C544" s="25"/>
      <c r="D544" s="16"/>
      <c r="E544" s="16"/>
      <c r="F544" s="16"/>
      <c r="G544" s="17"/>
    </row>
    <row r="545" spans="1:7" ht="18" customHeight="1">
      <c r="A545" s="16"/>
      <c r="B545" s="16"/>
      <c r="C545" s="25"/>
      <c r="D545" s="16"/>
      <c r="E545" s="16"/>
      <c r="F545" s="16"/>
      <c r="G545" s="17"/>
    </row>
    <row r="546" spans="1:7" ht="18" customHeight="1">
      <c r="A546" s="16"/>
      <c r="B546" s="16"/>
      <c r="C546" s="25"/>
      <c r="D546" s="16"/>
      <c r="E546" s="16"/>
      <c r="F546" s="16"/>
      <c r="G546" s="17"/>
    </row>
    <row r="547" spans="1:7" ht="18" customHeight="1">
      <c r="A547" s="16"/>
      <c r="B547" s="16"/>
      <c r="C547" s="25"/>
      <c r="D547" s="16"/>
      <c r="E547" s="16"/>
      <c r="F547" s="16"/>
      <c r="G547" s="17"/>
    </row>
    <row r="548" spans="1:7" ht="18" customHeight="1">
      <c r="A548" s="16"/>
      <c r="B548" s="16"/>
      <c r="C548" s="25"/>
      <c r="D548" s="16"/>
      <c r="E548" s="16"/>
      <c r="F548" s="16"/>
      <c r="G548" s="17"/>
    </row>
    <row r="549" spans="1:7" ht="18" customHeight="1">
      <c r="A549" s="16"/>
      <c r="B549" s="16"/>
      <c r="C549" s="25"/>
      <c r="D549" s="16"/>
      <c r="E549" s="16"/>
      <c r="F549" s="16"/>
      <c r="G549" s="17"/>
    </row>
    <row r="550" spans="1:7" ht="18" customHeight="1">
      <c r="A550" s="16"/>
      <c r="B550" s="16"/>
      <c r="C550" s="25"/>
      <c r="D550" s="16"/>
      <c r="E550" s="16"/>
      <c r="F550" s="16"/>
      <c r="G550" s="17"/>
    </row>
    <row r="551" spans="1:7" ht="18" customHeight="1">
      <c r="A551" s="16"/>
      <c r="B551" s="16"/>
      <c r="C551" s="25"/>
      <c r="D551" s="16"/>
      <c r="E551" s="16"/>
      <c r="F551" s="16"/>
      <c r="G551" s="17"/>
    </row>
    <row r="552" spans="1:7" ht="18" customHeight="1">
      <c r="A552" s="16"/>
      <c r="B552" s="16"/>
      <c r="C552" s="25"/>
      <c r="D552" s="16"/>
      <c r="E552" s="16"/>
      <c r="F552" s="16"/>
      <c r="G552" s="17"/>
    </row>
    <row r="553" spans="1:7" ht="18" customHeight="1">
      <c r="A553" s="16"/>
      <c r="B553" s="16"/>
      <c r="C553" s="25"/>
      <c r="D553" s="16"/>
      <c r="E553" s="16"/>
      <c r="F553" s="16"/>
      <c r="G553" s="17"/>
    </row>
    <row r="554" spans="1:7" ht="18" customHeight="1">
      <c r="A554" s="16"/>
      <c r="B554" s="16"/>
      <c r="C554" s="25"/>
      <c r="D554" s="16"/>
      <c r="E554" s="16"/>
      <c r="F554" s="16"/>
      <c r="G554" s="17"/>
    </row>
    <row r="555" spans="1:7" ht="18" customHeight="1">
      <c r="A555" s="16"/>
      <c r="B555" s="16"/>
      <c r="C555" s="25"/>
      <c r="D555" s="16"/>
      <c r="E555" s="16"/>
      <c r="F555" s="16"/>
      <c r="G555" s="17"/>
    </row>
    <row r="556" spans="1:7" ht="18" customHeight="1">
      <c r="A556" s="16"/>
      <c r="B556" s="16"/>
      <c r="C556" s="25"/>
      <c r="D556" s="16"/>
      <c r="E556" s="16"/>
      <c r="F556" s="16"/>
      <c r="G556" s="17"/>
    </row>
    <row r="557" spans="1:7" ht="18" customHeight="1">
      <c r="A557" s="16"/>
      <c r="B557" s="16"/>
      <c r="C557" s="25"/>
      <c r="D557" s="16"/>
      <c r="E557" s="16"/>
      <c r="F557" s="16"/>
      <c r="G557" s="17"/>
    </row>
    <row r="558" spans="1:7" ht="18" customHeight="1">
      <c r="A558" s="16"/>
      <c r="B558" s="16"/>
      <c r="C558" s="25"/>
      <c r="D558" s="16"/>
      <c r="E558" s="16"/>
      <c r="F558" s="16"/>
      <c r="G558" s="17"/>
    </row>
    <row r="559" spans="1:7" ht="18" customHeight="1">
      <c r="A559" s="16"/>
      <c r="B559" s="16"/>
      <c r="C559" s="25"/>
      <c r="D559" s="16"/>
      <c r="E559" s="16"/>
      <c r="F559" s="16"/>
      <c r="G559" s="17"/>
    </row>
    <row r="560" spans="1:7" ht="18" customHeight="1">
      <c r="A560" s="16"/>
      <c r="B560" s="16"/>
      <c r="C560" s="25"/>
      <c r="D560" s="16"/>
      <c r="E560" s="16"/>
      <c r="F560" s="16"/>
      <c r="G560" s="17"/>
    </row>
    <row r="561" spans="1:7" ht="18" customHeight="1">
      <c r="A561" s="16"/>
      <c r="B561" s="16"/>
      <c r="C561" s="25"/>
      <c r="D561" s="16"/>
      <c r="E561" s="16"/>
      <c r="F561" s="16"/>
      <c r="G561" s="17"/>
    </row>
    <row r="562" spans="1:7" ht="18" customHeight="1">
      <c r="A562" s="16"/>
      <c r="B562" s="16"/>
      <c r="C562" s="25"/>
      <c r="D562" s="16"/>
      <c r="E562" s="16"/>
      <c r="F562" s="16"/>
      <c r="G562" s="17"/>
    </row>
    <row r="563" spans="1:7" ht="18" customHeight="1">
      <c r="A563" s="16"/>
      <c r="B563" s="16"/>
      <c r="C563" s="25"/>
      <c r="D563" s="16"/>
      <c r="E563" s="16"/>
      <c r="F563" s="16"/>
      <c r="G563" s="17"/>
    </row>
    <row r="564" spans="1:7" ht="18" customHeight="1">
      <c r="A564" s="16"/>
      <c r="B564" s="16"/>
      <c r="C564" s="25"/>
      <c r="D564" s="16"/>
      <c r="E564" s="16"/>
      <c r="F564" s="16"/>
      <c r="G564" s="17"/>
    </row>
    <row r="565" spans="1:7" ht="18" customHeight="1">
      <c r="A565" s="16"/>
      <c r="B565" s="16"/>
      <c r="C565" s="25"/>
      <c r="D565" s="16"/>
      <c r="E565" s="16"/>
      <c r="F565" s="16"/>
      <c r="G565" s="17"/>
    </row>
    <row r="566" spans="1:7" ht="18" customHeight="1">
      <c r="A566" s="16"/>
      <c r="B566" s="16"/>
      <c r="C566" s="25"/>
      <c r="D566" s="16"/>
      <c r="E566" s="16"/>
      <c r="F566" s="16"/>
      <c r="G566" s="17"/>
    </row>
    <row r="567" spans="1:7" ht="18" customHeight="1">
      <c r="A567" s="16"/>
      <c r="B567" s="16"/>
      <c r="C567" s="25"/>
      <c r="D567" s="16"/>
      <c r="E567" s="16"/>
      <c r="F567" s="16"/>
      <c r="G567" s="17"/>
    </row>
    <row r="568" spans="1:7" ht="18" customHeight="1">
      <c r="A568" s="16"/>
      <c r="B568" s="16"/>
      <c r="C568" s="25"/>
      <c r="D568" s="16"/>
      <c r="E568" s="16"/>
      <c r="F568" s="16"/>
      <c r="G568" s="17"/>
    </row>
    <row r="569" spans="1:7" ht="18" customHeight="1">
      <c r="A569" s="16"/>
      <c r="B569" s="16"/>
      <c r="C569" s="25"/>
      <c r="D569" s="16"/>
      <c r="E569" s="16"/>
      <c r="F569" s="16"/>
      <c r="G569" s="17"/>
    </row>
    <row r="570" spans="1:7" ht="18" customHeight="1">
      <c r="A570" s="16"/>
      <c r="B570" s="16"/>
      <c r="C570" s="25"/>
      <c r="D570" s="16"/>
      <c r="E570" s="16"/>
      <c r="F570" s="16"/>
      <c r="G570" s="17"/>
    </row>
    <row r="571" spans="1:7" ht="18" customHeight="1">
      <c r="A571" s="16"/>
      <c r="B571" s="16"/>
      <c r="C571" s="25"/>
      <c r="D571" s="16"/>
      <c r="E571" s="16"/>
      <c r="F571" s="16"/>
      <c r="G571" s="17"/>
    </row>
    <row r="572" spans="1:7" ht="18" customHeight="1">
      <c r="A572" s="16"/>
      <c r="B572" s="16"/>
      <c r="C572" s="25"/>
      <c r="D572" s="16"/>
      <c r="E572" s="16"/>
      <c r="F572" s="16"/>
      <c r="G572" s="17"/>
    </row>
    <row r="573" spans="1:7" ht="18" customHeight="1">
      <c r="A573" s="16"/>
      <c r="B573" s="16"/>
      <c r="C573" s="25"/>
      <c r="D573" s="16"/>
      <c r="E573" s="16"/>
      <c r="F573" s="16"/>
      <c r="G573" s="17"/>
    </row>
    <row r="574" spans="1:7" ht="18" customHeight="1">
      <c r="A574" s="16"/>
      <c r="B574" s="16"/>
      <c r="C574" s="25"/>
      <c r="D574" s="16"/>
      <c r="E574" s="16"/>
      <c r="F574" s="16"/>
      <c r="G574" s="17"/>
    </row>
    <row r="575" spans="1:7" ht="18" customHeight="1">
      <c r="A575" s="16"/>
      <c r="B575" s="16"/>
      <c r="C575" s="25"/>
      <c r="D575" s="16"/>
      <c r="E575" s="16"/>
      <c r="F575" s="16"/>
      <c r="G575" s="17"/>
    </row>
    <row r="576" spans="1:7" ht="18" customHeight="1">
      <c r="A576" s="16"/>
      <c r="B576" s="16"/>
      <c r="C576" s="25"/>
      <c r="D576" s="16"/>
      <c r="E576" s="16"/>
      <c r="F576" s="16"/>
      <c r="G576" s="17"/>
    </row>
    <row r="577" spans="1:7" ht="18" customHeight="1">
      <c r="A577" s="16"/>
      <c r="B577" s="16"/>
      <c r="C577" s="25"/>
      <c r="D577" s="16"/>
      <c r="E577" s="16"/>
      <c r="F577" s="16"/>
      <c r="G577" s="17"/>
    </row>
    <row r="578" spans="1:7" ht="18" customHeight="1">
      <c r="A578" s="16"/>
      <c r="B578" s="16"/>
      <c r="C578" s="25"/>
      <c r="D578" s="16"/>
      <c r="E578" s="16"/>
      <c r="F578" s="16"/>
      <c r="G578" s="17"/>
    </row>
    <row r="579" spans="1:7" ht="18" customHeight="1">
      <c r="A579" s="16"/>
      <c r="B579" s="16"/>
      <c r="C579" s="25"/>
      <c r="D579" s="16"/>
      <c r="E579" s="16"/>
      <c r="F579" s="16"/>
      <c r="G579" s="17"/>
    </row>
    <row r="580" spans="1:7" ht="18" customHeight="1">
      <c r="A580" s="16"/>
      <c r="B580" s="16"/>
      <c r="C580" s="25"/>
      <c r="D580" s="16"/>
      <c r="E580" s="16"/>
      <c r="F580" s="16"/>
      <c r="G580" s="17"/>
    </row>
    <row r="581" spans="1:7" ht="18" customHeight="1">
      <c r="A581" s="16"/>
      <c r="B581" s="16"/>
      <c r="C581" s="25"/>
      <c r="D581" s="16"/>
      <c r="E581" s="16"/>
      <c r="F581" s="16"/>
      <c r="G581" s="17"/>
    </row>
    <row r="582" spans="1:7" ht="18" customHeight="1">
      <c r="A582" s="16"/>
      <c r="B582" s="16"/>
      <c r="C582" s="25"/>
      <c r="D582" s="16"/>
      <c r="E582" s="16"/>
      <c r="F582" s="16"/>
      <c r="G582" s="17"/>
    </row>
    <row r="583" spans="1:7" ht="18" customHeight="1">
      <c r="A583" s="16"/>
      <c r="B583" s="16"/>
      <c r="C583" s="25"/>
      <c r="D583" s="16"/>
      <c r="E583" s="16"/>
      <c r="F583" s="16"/>
      <c r="G583" s="17"/>
    </row>
    <row r="584" spans="1:7" ht="18" customHeight="1">
      <c r="A584" s="16"/>
      <c r="B584" s="16"/>
      <c r="C584" s="25"/>
      <c r="D584" s="16"/>
      <c r="E584" s="16"/>
      <c r="F584" s="16"/>
      <c r="G584" s="17"/>
    </row>
    <row r="585" spans="1:7" ht="18" customHeight="1">
      <c r="A585" s="16"/>
      <c r="B585" s="16"/>
      <c r="C585" s="25"/>
      <c r="D585" s="16"/>
      <c r="E585" s="16"/>
      <c r="F585" s="16"/>
      <c r="G585" s="17"/>
    </row>
    <row r="586" spans="1:7" ht="18" customHeight="1">
      <c r="A586" s="16"/>
      <c r="B586" s="16"/>
      <c r="C586" s="25"/>
      <c r="D586" s="16"/>
      <c r="E586" s="16"/>
      <c r="F586" s="16"/>
      <c r="G586" s="17"/>
    </row>
    <row r="587" spans="1:7" ht="18" customHeight="1">
      <c r="A587" s="16"/>
      <c r="B587" s="16"/>
      <c r="C587" s="25"/>
      <c r="D587" s="16"/>
      <c r="E587" s="16"/>
      <c r="F587" s="16"/>
      <c r="G587" s="17"/>
    </row>
    <row r="588" spans="1:7" ht="18" customHeight="1">
      <c r="A588" s="16"/>
      <c r="B588" s="16"/>
      <c r="C588" s="25"/>
      <c r="D588" s="16"/>
      <c r="E588" s="16"/>
      <c r="F588" s="16"/>
      <c r="G588" s="17"/>
    </row>
    <row r="589" spans="1:7" ht="18" customHeight="1">
      <c r="A589" s="16"/>
      <c r="B589" s="16"/>
      <c r="C589" s="25"/>
      <c r="D589" s="16"/>
      <c r="E589" s="16"/>
      <c r="F589" s="16"/>
      <c r="G589" s="17"/>
    </row>
    <row r="590" spans="1:7" ht="18" customHeight="1">
      <c r="A590" s="16"/>
      <c r="B590" s="16"/>
      <c r="C590" s="25"/>
      <c r="D590" s="16"/>
      <c r="E590" s="16"/>
      <c r="F590" s="16"/>
      <c r="G590" s="17"/>
    </row>
    <row r="591" spans="1:7" ht="18" customHeight="1">
      <c r="A591" s="16"/>
      <c r="B591" s="16"/>
      <c r="C591" s="25"/>
      <c r="D591" s="16"/>
      <c r="E591" s="16"/>
      <c r="F591" s="16"/>
      <c r="G591" s="17"/>
    </row>
    <row r="592" spans="1:7" ht="18" customHeight="1">
      <c r="A592" s="16"/>
      <c r="B592" s="16"/>
      <c r="C592" s="25"/>
      <c r="D592" s="16"/>
      <c r="E592" s="16"/>
      <c r="F592" s="16"/>
      <c r="G592" s="17"/>
    </row>
    <row r="593" spans="1:7" ht="18" customHeight="1">
      <c r="A593" s="16"/>
      <c r="B593" s="16"/>
      <c r="C593" s="25"/>
      <c r="D593" s="16"/>
      <c r="E593" s="16"/>
      <c r="F593" s="16"/>
      <c r="G593" s="17"/>
    </row>
    <row r="594" spans="1:7" ht="18" customHeight="1">
      <c r="A594" s="16"/>
      <c r="B594" s="16"/>
      <c r="C594" s="25"/>
      <c r="D594" s="16"/>
      <c r="E594" s="16"/>
      <c r="F594" s="16"/>
      <c r="G594" s="17"/>
    </row>
    <row r="595" spans="1:7" ht="18" customHeight="1">
      <c r="A595" s="16"/>
      <c r="B595" s="16"/>
      <c r="C595" s="25"/>
      <c r="D595" s="16"/>
      <c r="E595" s="16"/>
      <c r="F595" s="16"/>
      <c r="G595" s="17"/>
    </row>
    <row r="596" spans="1:7" ht="18" customHeight="1">
      <c r="A596" s="16"/>
      <c r="B596" s="16"/>
      <c r="C596" s="25"/>
      <c r="D596" s="16"/>
      <c r="E596" s="16"/>
      <c r="F596" s="16"/>
      <c r="G596" s="17"/>
    </row>
    <row r="597" spans="1:7" ht="18" customHeight="1">
      <c r="A597" s="16"/>
      <c r="B597" s="16"/>
      <c r="C597" s="25"/>
      <c r="D597" s="16"/>
      <c r="E597" s="16"/>
      <c r="F597" s="16"/>
      <c r="G597" s="17"/>
    </row>
    <row r="598" spans="1:7" ht="18" customHeight="1">
      <c r="A598" s="16"/>
      <c r="B598" s="16"/>
      <c r="C598" s="25"/>
      <c r="D598" s="16"/>
      <c r="E598" s="16"/>
      <c r="F598" s="16"/>
      <c r="G598" s="17"/>
    </row>
    <row r="599" spans="1:7" ht="18" customHeight="1">
      <c r="A599" s="16"/>
      <c r="B599" s="16"/>
      <c r="C599" s="25"/>
      <c r="D599" s="16"/>
      <c r="E599" s="16"/>
      <c r="F599" s="16"/>
      <c r="G599" s="17"/>
    </row>
    <row r="600" spans="1:7" ht="18" customHeight="1">
      <c r="A600" s="16"/>
      <c r="B600" s="16"/>
      <c r="C600" s="25"/>
      <c r="D600" s="16"/>
      <c r="E600" s="16"/>
      <c r="F600" s="16"/>
      <c r="G600" s="17"/>
    </row>
    <row r="601" spans="1:7" ht="18" customHeight="1">
      <c r="A601" s="16"/>
      <c r="B601" s="16"/>
      <c r="C601" s="25"/>
      <c r="D601" s="16"/>
      <c r="E601" s="16"/>
      <c r="F601" s="16"/>
      <c r="G601" s="17"/>
    </row>
    <row r="602" spans="1:7" ht="18" customHeight="1">
      <c r="A602" s="16"/>
      <c r="B602" s="16"/>
      <c r="C602" s="25"/>
      <c r="D602" s="16"/>
      <c r="E602" s="16"/>
      <c r="F602" s="16"/>
      <c r="G602" s="17"/>
    </row>
    <row r="603" spans="1:7" ht="18" customHeight="1">
      <c r="A603" s="16"/>
      <c r="B603" s="16"/>
      <c r="C603" s="25"/>
      <c r="D603" s="16"/>
      <c r="E603" s="16"/>
      <c r="F603" s="16"/>
      <c r="G603" s="17"/>
    </row>
    <row r="604" spans="1:7" ht="18" customHeight="1">
      <c r="A604" s="16"/>
      <c r="B604" s="16"/>
      <c r="C604" s="25"/>
      <c r="D604" s="16"/>
      <c r="E604" s="16"/>
      <c r="F604" s="16"/>
      <c r="G604" s="17"/>
    </row>
    <row r="605" spans="1:7" ht="18" customHeight="1">
      <c r="A605" s="16"/>
      <c r="B605" s="16"/>
      <c r="C605" s="25"/>
      <c r="D605" s="16"/>
      <c r="E605" s="16"/>
      <c r="F605" s="16"/>
      <c r="G605" s="17"/>
    </row>
    <row r="606" spans="1:7" ht="18" customHeight="1">
      <c r="A606" s="16"/>
      <c r="B606" s="16"/>
      <c r="C606" s="25"/>
      <c r="D606" s="16"/>
      <c r="E606" s="16"/>
      <c r="F606" s="16"/>
      <c r="G606" s="17"/>
    </row>
    <row r="607" spans="1:7" ht="18" customHeight="1">
      <c r="A607" s="16"/>
      <c r="B607" s="16"/>
      <c r="C607" s="25"/>
      <c r="D607" s="16"/>
      <c r="E607" s="16"/>
      <c r="F607" s="16"/>
      <c r="G607" s="17"/>
    </row>
    <row r="608" spans="1:7" ht="18" customHeight="1">
      <c r="A608" s="16"/>
      <c r="B608" s="16"/>
      <c r="C608" s="25"/>
      <c r="D608" s="16"/>
      <c r="E608" s="16"/>
      <c r="F608" s="16"/>
      <c r="G608" s="17"/>
    </row>
    <row r="609" spans="1:7" ht="18" customHeight="1">
      <c r="A609" s="16"/>
      <c r="B609" s="16"/>
      <c r="C609" s="25"/>
      <c r="D609" s="16"/>
      <c r="E609" s="16"/>
      <c r="F609" s="16"/>
      <c r="G609" s="17"/>
    </row>
    <row r="610" spans="1:7" ht="18" customHeight="1">
      <c r="A610" s="16"/>
      <c r="B610" s="16"/>
      <c r="C610" s="25"/>
      <c r="D610" s="16"/>
      <c r="E610" s="16"/>
      <c r="F610" s="16"/>
      <c r="G610" s="17"/>
    </row>
    <row r="611" spans="1:7" ht="18" customHeight="1">
      <c r="A611" s="16"/>
      <c r="B611" s="16"/>
      <c r="C611" s="25"/>
      <c r="D611" s="16"/>
      <c r="E611" s="16"/>
      <c r="F611" s="16"/>
      <c r="G611" s="17"/>
    </row>
    <row r="612" spans="1:7" ht="18" customHeight="1">
      <c r="A612" s="16"/>
      <c r="B612" s="16"/>
      <c r="C612" s="25"/>
      <c r="D612" s="16"/>
      <c r="E612" s="16"/>
      <c r="F612" s="16"/>
      <c r="G612" s="17"/>
    </row>
    <row r="613" spans="1:7" ht="18" customHeight="1">
      <c r="A613" s="16"/>
      <c r="B613" s="16"/>
      <c r="C613" s="25"/>
      <c r="D613" s="16"/>
      <c r="E613" s="16"/>
      <c r="F613" s="16"/>
      <c r="G613" s="17"/>
    </row>
    <row r="614" spans="1:7" ht="18" customHeight="1">
      <c r="A614" s="16"/>
      <c r="B614" s="16"/>
      <c r="C614" s="25"/>
      <c r="D614" s="16"/>
      <c r="E614" s="16"/>
      <c r="F614" s="16"/>
      <c r="G614" s="17"/>
    </row>
    <row r="615" spans="1:7" ht="18" customHeight="1">
      <c r="A615" s="16"/>
      <c r="B615" s="16"/>
      <c r="C615" s="25"/>
      <c r="D615" s="16"/>
      <c r="E615" s="16"/>
      <c r="F615" s="16"/>
      <c r="G615" s="17"/>
    </row>
    <row r="616" spans="1:7" ht="18" customHeight="1">
      <c r="A616" s="16"/>
      <c r="B616" s="16"/>
      <c r="C616" s="25"/>
      <c r="D616" s="16"/>
      <c r="E616" s="16"/>
      <c r="F616" s="16"/>
      <c r="G616" s="17"/>
    </row>
    <row r="617" spans="1:7" ht="18" customHeight="1">
      <c r="A617" s="16"/>
      <c r="B617" s="16"/>
      <c r="C617" s="25"/>
      <c r="D617" s="16"/>
      <c r="E617" s="16"/>
      <c r="F617" s="16"/>
      <c r="G617" s="17"/>
    </row>
    <row r="618" spans="1:7" ht="18" customHeight="1">
      <c r="A618" s="16"/>
      <c r="B618" s="16"/>
      <c r="C618" s="25"/>
      <c r="D618" s="16"/>
      <c r="E618" s="16"/>
      <c r="F618" s="16"/>
      <c r="G618" s="17"/>
    </row>
    <row r="619" spans="1:7" ht="18" customHeight="1">
      <c r="A619" s="16"/>
      <c r="B619" s="16"/>
      <c r="C619" s="25"/>
      <c r="D619" s="16"/>
      <c r="E619" s="16"/>
      <c r="F619" s="16"/>
      <c r="G619" s="17"/>
    </row>
    <row r="620" spans="1:7" ht="18" customHeight="1">
      <c r="A620" s="16"/>
      <c r="B620" s="16"/>
      <c r="C620" s="25"/>
      <c r="D620" s="16"/>
      <c r="E620" s="16"/>
      <c r="F620" s="16"/>
      <c r="G620" s="17"/>
    </row>
    <row r="621" spans="1:7" ht="18" customHeight="1">
      <c r="A621" s="16"/>
      <c r="B621" s="16"/>
      <c r="C621" s="25"/>
      <c r="D621" s="16"/>
      <c r="E621" s="16"/>
      <c r="F621" s="16"/>
      <c r="G621" s="17"/>
    </row>
    <row r="622" spans="1:7" ht="18" customHeight="1">
      <c r="A622" s="16"/>
      <c r="B622" s="16"/>
      <c r="C622" s="25"/>
      <c r="D622" s="16"/>
      <c r="E622" s="16"/>
      <c r="F622" s="16"/>
      <c r="G622" s="17"/>
    </row>
    <row r="623" spans="1:7" ht="18" customHeight="1">
      <c r="A623" s="16"/>
      <c r="B623" s="16"/>
      <c r="C623" s="25"/>
      <c r="D623" s="16"/>
      <c r="E623" s="16"/>
      <c r="F623" s="16"/>
      <c r="G623" s="17"/>
    </row>
    <row r="624" spans="1:7" ht="18" customHeight="1">
      <c r="A624" s="16"/>
      <c r="B624" s="16"/>
      <c r="C624" s="25"/>
      <c r="D624" s="16"/>
      <c r="E624" s="16"/>
      <c r="F624" s="16"/>
      <c r="G624" s="17"/>
    </row>
    <row r="625" spans="1:7" ht="18" customHeight="1">
      <c r="A625" s="16"/>
      <c r="B625" s="16"/>
      <c r="C625" s="25"/>
      <c r="D625" s="16"/>
      <c r="E625" s="16"/>
      <c r="F625" s="16"/>
      <c r="G625" s="17"/>
    </row>
    <row r="626" spans="1:7" ht="18" customHeight="1">
      <c r="A626" s="16"/>
      <c r="B626" s="16"/>
      <c r="C626" s="25"/>
      <c r="D626" s="16"/>
      <c r="E626" s="16"/>
      <c r="F626" s="16"/>
      <c r="G626" s="17"/>
    </row>
    <row r="627" spans="1:7" ht="18" customHeight="1">
      <c r="A627" s="16"/>
      <c r="B627" s="16"/>
      <c r="C627" s="25"/>
      <c r="D627" s="16"/>
      <c r="E627" s="16"/>
      <c r="F627" s="16"/>
      <c r="G627" s="17"/>
    </row>
    <row r="628" spans="1:7" ht="18" customHeight="1">
      <c r="A628" s="16"/>
      <c r="B628" s="16"/>
      <c r="C628" s="25"/>
      <c r="D628" s="16"/>
      <c r="E628" s="16"/>
      <c r="F628" s="16"/>
      <c r="G628" s="17"/>
    </row>
    <row r="629" spans="1:7" ht="18" customHeight="1">
      <c r="A629" s="16"/>
      <c r="B629" s="16"/>
      <c r="C629" s="25"/>
      <c r="D629" s="16"/>
      <c r="E629" s="16"/>
      <c r="F629" s="16"/>
      <c r="G629" s="17"/>
    </row>
    <row r="630" spans="1:7" ht="18" customHeight="1">
      <c r="A630" s="16"/>
      <c r="B630" s="16"/>
      <c r="C630" s="25"/>
      <c r="D630" s="16"/>
      <c r="E630" s="16"/>
      <c r="F630" s="16"/>
      <c r="G630" s="17"/>
    </row>
    <row r="631" spans="1:7" ht="18" customHeight="1">
      <c r="A631" s="16"/>
      <c r="B631" s="16"/>
      <c r="C631" s="25"/>
      <c r="D631" s="16"/>
      <c r="E631" s="16"/>
      <c r="F631" s="16"/>
      <c r="G631" s="17"/>
    </row>
    <row r="632" spans="1:7" ht="18" customHeight="1">
      <c r="A632" s="16"/>
      <c r="B632" s="16"/>
      <c r="C632" s="25"/>
      <c r="D632" s="16"/>
      <c r="E632" s="16"/>
      <c r="F632" s="16"/>
      <c r="G632" s="17"/>
    </row>
    <row r="633" spans="1:7" ht="18" customHeight="1">
      <c r="A633" s="16"/>
      <c r="B633" s="16"/>
      <c r="C633" s="25"/>
      <c r="D633" s="16"/>
      <c r="E633" s="16"/>
      <c r="F633" s="16"/>
      <c r="G633" s="17"/>
    </row>
    <row r="634" spans="1:7" ht="18" customHeight="1">
      <c r="A634" s="16"/>
      <c r="B634" s="16"/>
      <c r="C634" s="25"/>
      <c r="D634" s="16"/>
      <c r="E634" s="16"/>
      <c r="F634" s="16"/>
      <c r="G634" s="17"/>
    </row>
    <row r="635" spans="1:7" ht="18" customHeight="1">
      <c r="A635" s="16"/>
      <c r="B635" s="16"/>
      <c r="C635" s="25"/>
      <c r="D635" s="16"/>
      <c r="E635" s="16"/>
      <c r="F635" s="16"/>
      <c r="G635" s="17"/>
    </row>
    <row r="636" spans="1:7" ht="18" customHeight="1">
      <c r="A636" s="16"/>
      <c r="B636" s="16"/>
      <c r="C636" s="25"/>
      <c r="D636" s="16"/>
      <c r="E636" s="16"/>
      <c r="F636" s="16"/>
      <c r="G636" s="17"/>
    </row>
    <row r="637" spans="1:7" ht="18" customHeight="1">
      <c r="A637" s="16"/>
      <c r="B637" s="16"/>
      <c r="C637" s="25"/>
      <c r="D637" s="16"/>
      <c r="E637" s="16"/>
      <c r="F637" s="16"/>
      <c r="G637" s="17"/>
    </row>
    <row r="638" spans="1:7" ht="18" customHeight="1">
      <c r="A638" s="16"/>
      <c r="B638" s="16"/>
      <c r="C638" s="25"/>
      <c r="D638" s="16"/>
      <c r="E638" s="16"/>
      <c r="F638" s="16"/>
      <c r="G638" s="17"/>
    </row>
    <row r="639" spans="1:7" ht="18" customHeight="1">
      <c r="A639" s="16"/>
      <c r="B639" s="16"/>
      <c r="C639" s="25"/>
      <c r="D639" s="16"/>
      <c r="E639" s="16"/>
      <c r="F639" s="16"/>
      <c r="G639" s="17"/>
    </row>
    <row r="640" spans="1:7" ht="18" customHeight="1">
      <c r="A640" s="16"/>
      <c r="B640" s="16"/>
      <c r="C640" s="25"/>
      <c r="D640" s="16"/>
      <c r="E640" s="16"/>
      <c r="F640" s="16"/>
      <c r="G640" s="17"/>
    </row>
    <row r="641" spans="1:7" ht="18" customHeight="1">
      <c r="A641" s="16"/>
      <c r="B641" s="16"/>
      <c r="C641" s="25"/>
      <c r="D641" s="16"/>
      <c r="E641" s="16"/>
      <c r="F641" s="16"/>
      <c r="G641" s="17"/>
    </row>
    <row r="642" spans="1:7" ht="18" customHeight="1">
      <c r="A642" s="16"/>
      <c r="B642" s="16"/>
      <c r="C642" s="25"/>
      <c r="D642" s="16"/>
      <c r="E642" s="16"/>
      <c r="F642" s="16"/>
      <c r="G642" s="17"/>
    </row>
    <row r="643" spans="1:7" ht="18" customHeight="1">
      <c r="A643" s="16"/>
      <c r="B643" s="16"/>
      <c r="C643" s="25"/>
      <c r="D643" s="16"/>
      <c r="E643" s="16"/>
      <c r="F643" s="16"/>
      <c r="G643" s="17"/>
    </row>
    <row r="644" spans="1:7" ht="18" customHeight="1">
      <c r="A644" s="16"/>
      <c r="B644" s="16"/>
      <c r="C644" s="25"/>
      <c r="D644" s="16"/>
      <c r="E644" s="16"/>
      <c r="F644" s="16"/>
      <c r="G644" s="17"/>
    </row>
    <row r="645" spans="1:7" ht="18" customHeight="1">
      <c r="A645" s="16"/>
      <c r="B645" s="16"/>
      <c r="C645" s="25"/>
      <c r="D645" s="16"/>
      <c r="E645" s="16"/>
      <c r="F645" s="16"/>
      <c r="G645" s="17"/>
    </row>
    <row r="646" spans="1:7" ht="18" customHeight="1">
      <c r="A646" s="16"/>
      <c r="B646" s="16"/>
      <c r="C646" s="25"/>
      <c r="D646" s="16"/>
      <c r="E646" s="16"/>
      <c r="F646" s="16"/>
      <c r="G646" s="17"/>
    </row>
    <row r="647" spans="1:7" ht="18" customHeight="1">
      <c r="A647" s="16"/>
      <c r="B647" s="16"/>
      <c r="C647" s="25"/>
      <c r="D647" s="16"/>
      <c r="E647" s="16"/>
      <c r="F647" s="16"/>
      <c r="G647" s="17"/>
    </row>
    <row r="648" spans="1:7" ht="18" customHeight="1">
      <c r="A648" s="16"/>
      <c r="B648" s="16"/>
      <c r="C648" s="25"/>
      <c r="D648" s="16"/>
      <c r="E648" s="16"/>
      <c r="F648" s="16"/>
      <c r="G648" s="17"/>
    </row>
    <row r="649" spans="1:7" ht="18" customHeight="1">
      <c r="A649" s="16"/>
      <c r="B649" s="16"/>
      <c r="C649" s="25"/>
      <c r="D649" s="16"/>
      <c r="E649" s="16"/>
      <c r="F649" s="16"/>
      <c r="G649" s="17"/>
    </row>
    <row r="650" spans="1:7" ht="18" customHeight="1">
      <c r="A650" s="16"/>
      <c r="B650" s="16"/>
      <c r="C650" s="25"/>
      <c r="D650" s="16"/>
      <c r="E650" s="16"/>
      <c r="F650" s="16"/>
      <c r="G650" s="17"/>
    </row>
    <row r="651" spans="1:7" ht="18" customHeight="1">
      <c r="A651" s="16"/>
      <c r="B651" s="16"/>
      <c r="C651" s="25"/>
      <c r="D651" s="16"/>
      <c r="E651" s="16"/>
      <c r="F651" s="16"/>
      <c r="G651" s="17"/>
    </row>
    <row r="652" spans="1:7" ht="18" customHeight="1">
      <c r="A652" s="16"/>
      <c r="B652" s="16"/>
      <c r="C652" s="25"/>
      <c r="D652" s="16"/>
      <c r="E652" s="16"/>
      <c r="F652" s="16"/>
      <c r="G652" s="17"/>
    </row>
    <row r="653" spans="1:7" ht="18" customHeight="1">
      <c r="A653" s="16"/>
      <c r="B653" s="16"/>
      <c r="C653" s="25"/>
      <c r="D653" s="16"/>
      <c r="E653" s="16"/>
      <c r="F653" s="16"/>
      <c r="G653" s="17"/>
    </row>
    <row r="654" spans="1:7" ht="18" customHeight="1">
      <c r="A654" s="16"/>
      <c r="B654" s="16"/>
      <c r="C654" s="25"/>
      <c r="D654" s="16"/>
      <c r="E654" s="16"/>
      <c r="F654" s="16"/>
      <c r="G654" s="17"/>
    </row>
    <row r="655" spans="1:7" ht="18" customHeight="1">
      <c r="A655" s="16"/>
      <c r="B655" s="16"/>
      <c r="C655" s="25"/>
      <c r="D655" s="16"/>
      <c r="E655" s="16"/>
      <c r="F655" s="16"/>
      <c r="G655" s="17"/>
    </row>
    <row r="656" spans="1:7" ht="18" customHeight="1">
      <c r="A656" s="16"/>
      <c r="B656" s="16"/>
      <c r="C656" s="25"/>
      <c r="D656" s="16"/>
      <c r="E656" s="16"/>
      <c r="F656" s="16"/>
      <c r="G656" s="17"/>
    </row>
    <row r="657" spans="1:7" ht="18" customHeight="1">
      <c r="A657" s="16"/>
      <c r="B657" s="16"/>
      <c r="C657" s="25"/>
      <c r="D657" s="16"/>
      <c r="E657" s="16"/>
      <c r="F657" s="16"/>
      <c r="G657" s="17"/>
    </row>
    <row r="658" spans="1:7" ht="18" customHeight="1">
      <c r="A658" s="16"/>
      <c r="B658" s="16"/>
      <c r="C658" s="25"/>
      <c r="D658" s="16"/>
      <c r="E658" s="16"/>
      <c r="F658" s="16"/>
      <c r="G658" s="17"/>
    </row>
    <row r="659" spans="1:7" ht="18" customHeight="1">
      <c r="A659" s="16"/>
      <c r="B659" s="16"/>
      <c r="C659" s="25"/>
      <c r="D659" s="16"/>
      <c r="E659" s="16"/>
      <c r="F659" s="16"/>
      <c r="G659" s="17"/>
    </row>
    <row r="660" spans="1:7" ht="18" customHeight="1">
      <c r="A660" s="16"/>
      <c r="B660" s="16"/>
      <c r="C660" s="25"/>
      <c r="D660" s="16"/>
      <c r="E660" s="16"/>
      <c r="F660" s="16"/>
      <c r="G660" s="17"/>
    </row>
    <row r="661" spans="1:7" ht="18" customHeight="1">
      <c r="A661" s="16"/>
      <c r="B661" s="16"/>
      <c r="C661" s="25"/>
      <c r="D661" s="16"/>
      <c r="E661" s="16"/>
      <c r="F661" s="16"/>
      <c r="G661" s="17"/>
    </row>
    <row r="662" spans="1:7" ht="18" customHeight="1">
      <c r="A662" s="16"/>
      <c r="B662" s="16"/>
      <c r="C662" s="25"/>
      <c r="D662" s="16"/>
      <c r="E662" s="16"/>
      <c r="F662" s="16"/>
      <c r="G662" s="17"/>
    </row>
    <row r="663" spans="1:7" ht="18" customHeight="1">
      <c r="A663" s="16"/>
      <c r="B663" s="16"/>
      <c r="C663" s="25"/>
      <c r="D663" s="16"/>
      <c r="E663" s="16"/>
      <c r="F663" s="16"/>
      <c r="G663" s="17"/>
    </row>
    <row r="664" spans="1:7" ht="18" customHeight="1">
      <c r="A664" s="16"/>
      <c r="B664" s="16"/>
      <c r="C664" s="25"/>
      <c r="D664" s="16"/>
      <c r="E664" s="16"/>
      <c r="F664" s="16"/>
      <c r="G664" s="17"/>
    </row>
    <row r="665" spans="1:7" ht="18" customHeight="1">
      <c r="A665" s="16"/>
      <c r="B665" s="16"/>
      <c r="C665" s="25"/>
      <c r="D665" s="16"/>
      <c r="E665" s="16"/>
      <c r="F665" s="16"/>
      <c r="G665" s="17"/>
    </row>
    <row r="666" spans="1:7" ht="18" customHeight="1">
      <c r="A666" s="16"/>
      <c r="B666" s="16"/>
      <c r="C666" s="25"/>
      <c r="D666" s="16"/>
      <c r="E666" s="16"/>
      <c r="F666" s="16"/>
      <c r="G666" s="17"/>
    </row>
    <row r="667" spans="1:7" ht="18" customHeight="1">
      <c r="A667" s="16"/>
      <c r="B667" s="16"/>
      <c r="C667" s="25"/>
      <c r="D667" s="16"/>
      <c r="E667" s="16"/>
      <c r="F667" s="16"/>
      <c r="G667" s="17"/>
    </row>
    <row r="668" spans="1:7" ht="18" customHeight="1">
      <c r="A668" s="16"/>
      <c r="B668" s="16"/>
      <c r="C668" s="25"/>
      <c r="D668" s="16"/>
      <c r="E668" s="16"/>
      <c r="F668" s="16"/>
      <c r="G668" s="17"/>
    </row>
    <row r="669" spans="1:7" ht="18" customHeight="1">
      <c r="A669" s="16"/>
      <c r="B669" s="16"/>
      <c r="C669" s="25"/>
      <c r="D669" s="16"/>
      <c r="E669" s="16"/>
      <c r="F669" s="16"/>
      <c r="G669" s="17"/>
    </row>
    <row r="670" spans="1:7" ht="18" customHeight="1">
      <c r="A670" s="16"/>
      <c r="B670" s="16"/>
      <c r="C670" s="25"/>
      <c r="D670" s="16"/>
      <c r="E670" s="16"/>
      <c r="F670" s="16"/>
      <c r="G670" s="17"/>
    </row>
    <row r="671" spans="1:7" ht="18" customHeight="1">
      <c r="A671" s="16"/>
      <c r="B671" s="16"/>
      <c r="C671" s="25"/>
      <c r="D671" s="16"/>
      <c r="E671" s="16"/>
      <c r="F671" s="16"/>
      <c r="G671" s="17"/>
    </row>
    <row r="672" spans="1:7" ht="18" customHeight="1">
      <c r="A672" s="16"/>
      <c r="B672" s="16"/>
      <c r="C672" s="25"/>
      <c r="D672" s="16"/>
      <c r="E672" s="16"/>
      <c r="F672" s="16"/>
      <c r="G672" s="17"/>
    </row>
    <row r="673" spans="1:7" ht="18" customHeight="1">
      <c r="A673" s="16"/>
      <c r="B673" s="16"/>
      <c r="C673" s="25"/>
      <c r="D673" s="16"/>
      <c r="E673" s="16"/>
      <c r="F673" s="16"/>
      <c r="G673" s="17"/>
    </row>
    <row r="674" spans="1:7" ht="18" customHeight="1">
      <c r="A674" s="16"/>
      <c r="B674" s="16"/>
      <c r="C674" s="25"/>
      <c r="D674" s="16"/>
      <c r="E674" s="16"/>
      <c r="F674" s="16"/>
      <c r="G674" s="17"/>
    </row>
    <row r="675" spans="1:7" ht="18" customHeight="1">
      <c r="A675" s="16"/>
      <c r="B675" s="16"/>
      <c r="C675" s="25"/>
      <c r="D675" s="16"/>
      <c r="E675" s="16"/>
      <c r="F675" s="16"/>
      <c r="G675" s="17"/>
    </row>
    <row r="676" spans="1:7" ht="18" customHeight="1">
      <c r="A676" s="16"/>
      <c r="B676" s="16"/>
      <c r="C676" s="25"/>
      <c r="D676" s="16"/>
      <c r="E676" s="16"/>
      <c r="F676" s="16"/>
      <c r="G676" s="17"/>
    </row>
    <row r="677" spans="1:7" ht="18" customHeight="1">
      <c r="A677" s="16"/>
      <c r="B677" s="16"/>
      <c r="C677" s="25"/>
      <c r="D677" s="16"/>
      <c r="E677" s="16"/>
      <c r="F677" s="16"/>
      <c r="G677" s="17"/>
    </row>
    <row r="678" spans="1:7" ht="18" customHeight="1">
      <c r="A678" s="16"/>
      <c r="B678" s="16"/>
      <c r="C678" s="25"/>
      <c r="D678" s="16"/>
      <c r="E678" s="16"/>
      <c r="F678" s="16"/>
      <c r="G678" s="17"/>
    </row>
    <row r="679" spans="1:7" ht="18" customHeight="1">
      <c r="A679" s="16"/>
      <c r="B679" s="16"/>
      <c r="C679" s="25"/>
      <c r="D679" s="16"/>
      <c r="E679" s="16"/>
      <c r="F679" s="16"/>
      <c r="G679" s="17"/>
    </row>
    <row r="680" spans="1:7" ht="18" customHeight="1">
      <c r="A680" s="16"/>
      <c r="B680" s="16"/>
      <c r="C680" s="25"/>
      <c r="D680" s="16"/>
      <c r="E680" s="16"/>
      <c r="F680" s="16"/>
      <c r="G680" s="17"/>
    </row>
    <row r="681" spans="1:7" ht="18" customHeight="1">
      <c r="A681" s="16"/>
      <c r="B681" s="16"/>
      <c r="C681" s="25"/>
      <c r="D681" s="16"/>
      <c r="E681" s="16"/>
      <c r="F681" s="16"/>
      <c r="G681" s="17"/>
    </row>
    <row r="682" spans="1:7" ht="18" customHeight="1">
      <c r="A682" s="16"/>
      <c r="B682" s="16"/>
      <c r="C682" s="25"/>
      <c r="D682" s="16"/>
      <c r="E682" s="16"/>
      <c r="F682" s="16"/>
      <c r="G682" s="17"/>
    </row>
    <row r="683" spans="1:7" ht="18" customHeight="1">
      <c r="A683" s="16"/>
      <c r="B683" s="16"/>
      <c r="C683" s="25"/>
      <c r="D683" s="16"/>
      <c r="E683" s="16"/>
      <c r="F683" s="16"/>
      <c r="G683" s="17"/>
    </row>
    <row r="684" spans="1:7" ht="18" customHeight="1">
      <c r="A684" s="16"/>
      <c r="B684" s="16"/>
      <c r="C684" s="25"/>
      <c r="D684" s="16"/>
      <c r="E684" s="16"/>
      <c r="F684" s="16"/>
      <c r="G684" s="17"/>
    </row>
    <row r="685" spans="1:7" ht="18" customHeight="1">
      <c r="A685" s="16"/>
      <c r="B685" s="16"/>
      <c r="C685" s="25"/>
      <c r="D685" s="16"/>
      <c r="E685" s="16"/>
      <c r="F685" s="16"/>
      <c r="G685" s="17"/>
    </row>
    <row r="686" spans="1:7" ht="18" customHeight="1">
      <c r="A686" s="16"/>
      <c r="B686" s="16"/>
      <c r="C686" s="25"/>
      <c r="D686" s="16"/>
      <c r="E686" s="16"/>
      <c r="F686" s="16"/>
      <c r="G686" s="17"/>
    </row>
    <row r="687" spans="1:7" ht="18" customHeight="1">
      <c r="A687" s="16"/>
      <c r="B687" s="16"/>
      <c r="C687" s="25"/>
      <c r="D687" s="16"/>
      <c r="E687" s="16"/>
      <c r="F687" s="16"/>
      <c r="G687" s="17"/>
    </row>
    <row r="688" spans="1:7" ht="18" customHeight="1">
      <c r="A688" s="16"/>
      <c r="B688" s="16"/>
      <c r="C688" s="25"/>
      <c r="D688" s="16"/>
      <c r="E688" s="16"/>
      <c r="F688" s="16"/>
      <c r="G688" s="17"/>
    </row>
    <row r="689" spans="1:7" ht="18" customHeight="1">
      <c r="A689" s="16"/>
      <c r="B689" s="16"/>
      <c r="C689" s="25"/>
      <c r="D689" s="16"/>
      <c r="E689" s="16"/>
      <c r="F689" s="16"/>
      <c r="G689" s="17"/>
    </row>
    <row r="690" spans="1:7" ht="18" customHeight="1">
      <c r="A690" s="16"/>
      <c r="B690" s="16"/>
      <c r="C690" s="25"/>
      <c r="D690" s="16"/>
      <c r="E690" s="16"/>
      <c r="F690" s="16"/>
      <c r="G690" s="17"/>
    </row>
    <row r="691" spans="1:7" ht="18" customHeight="1">
      <c r="A691" s="16"/>
      <c r="B691" s="16"/>
      <c r="C691" s="25"/>
      <c r="D691" s="16"/>
      <c r="E691" s="16"/>
      <c r="F691" s="16"/>
      <c r="G691" s="17"/>
    </row>
    <row r="692" spans="1:7" ht="18" customHeight="1">
      <c r="A692" s="16"/>
      <c r="B692" s="16"/>
      <c r="C692" s="25"/>
      <c r="D692" s="16"/>
      <c r="E692" s="16"/>
      <c r="F692" s="16"/>
      <c r="G692" s="17"/>
    </row>
    <row r="693" spans="1:7" ht="18" customHeight="1">
      <c r="A693" s="16"/>
      <c r="B693" s="16"/>
      <c r="C693" s="25"/>
      <c r="D693" s="16"/>
      <c r="E693" s="16"/>
      <c r="F693" s="16"/>
      <c r="G693" s="17"/>
    </row>
    <row r="694" spans="1:7" ht="18" customHeight="1">
      <c r="A694" s="16"/>
      <c r="B694" s="16"/>
      <c r="C694" s="25"/>
      <c r="D694" s="16"/>
      <c r="E694" s="16"/>
      <c r="F694" s="16"/>
      <c r="G694" s="17"/>
    </row>
    <row r="695" spans="1:7" ht="18" customHeight="1">
      <c r="A695" s="16"/>
      <c r="B695" s="16"/>
      <c r="C695" s="25"/>
      <c r="D695" s="16"/>
      <c r="E695" s="16"/>
      <c r="F695" s="16"/>
      <c r="G695" s="17"/>
    </row>
    <row r="696" spans="1:7" ht="18" customHeight="1">
      <c r="A696" s="16"/>
      <c r="B696" s="16"/>
      <c r="C696" s="25"/>
      <c r="D696" s="16"/>
      <c r="E696" s="16"/>
      <c r="F696" s="16"/>
      <c r="G696" s="17"/>
    </row>
    <row r="697" spans="1:7" ht="18" customHeight="1">
      <c r="A697" s="16"/>
      <c r="B697" s="16"/>
      <c r="C697" s="25"/>
      <c r="D697" s="16"/>
      <c r="E697" s="16"/>
      <c r="F697" s="16"/>
      <c r="G697" s="17"/>
    </row>
    <row r="698" spans="1:7" ht="18" customHeight="1">
      <c r="A698" s="16"/>
      <c r="B698" s="16"/>
      <c r="C698" s="25"/>
      <c r="D698" s="16"/>
      <c r="E698" s="16"/>
      <c r="F698" s="16"/>
      <c r="G698" s="17"/>
    </row>
    <row r="699" spans="1:7" ht="18" customHeight="1">
      <c r="A699" s="16"/>
      <c r="B699" s="16"/>
      <c r="C699" s="25"/>
      <c r="D699" s="16"/>
      <c r="E699" s="16"/>
      <c r="F699" s="16"/>
      <c r="G699" s="17"/>
    </row>
    <row r="700" spans="1:7" ht="18" customHeight="1">
      <c r="A700" s="16"/>
      <c r="B700" s="16"/>
      <c r="C700" s="25"/>
      <c r="D700" s="16"/>
      <c r="E700" s="16"/>
      <c r="F700" s="16"/>
      <c r="G700" s="17"/>
    </row>
    <row r="701" spans="1:7" ht="18" customHeight="1">
      <c r="A701" s="16"/>
      <c r="B701" s="16"/>
      <c r="C701" s="25"/>
      <c r="D701" s="16"/>
      <c r="E701" s="16"/>
      <c r="F701" s="16"/>
      <c r="G701" s="17"/>
    </row>
    <row r="702" spans="1:7" ht="18" customHeight="1">
      <c r="A702" s="16"/>
      <c r="B702" s="16"/>
      <c r="C702" s="25"/>
      <c r="D702" s="16"/>
      <c r="E702" s="16"/>
      <c r="F702" s="16"/>
      <c r="G702" s="17"/>
    </row>
    <row r="703" spans="1:7" ht="18" customHeight="1">
      <c r="A703" s="16"/>
      <c r="B703" s="16"/>
      <c r="C703" s="25"/>
      <c r="D703" s="16"/>
      <c r="E703" s="16"/>
      <c r="F703" s="16"/>
      <c r="G703" s="17"/>
    </row>
    <row r="704" spans="1:7" ht="18" customHeight="1">
      <c r="A704" s="16"/>
      <c r="B704" s="16"/>
      <c r="C704" s="25"/>
      <c r="D704" s="16"/>
      <c r="E704" s="16"/>
      <c r="F704" s="16"/>
      <c r="G704" s="17"/>
    </row>
    <row r="705" spans="1:7" ht="18" customHeight="1">
      <c r="A705" s="16"/>
      <c r="B705" s="16"/>
      <c r="C705" s="25"/>
      <c r="D705" s="16"/>
      <c r="E705" s="16"/>
      <c r="F705" s="16"/>
      <c r="G705" s="17"/>
    </row>
    <row r="706" spans="1:7" ht="18" customHeight="1">
      <c r="A706" s="16"/>
      <c r="B706" s="16"/>
      <c r="C706" s="25"/>
      <c r="D706" s="16"/>
      <c r="E706" s="16"/>
      <c r="F706" s="16"/>
      <c r="G706" s="17"/>
    </row>
    <row r="707" spans="1:7" ht="18" customHeight="1">
      <c r="A707" s="16"/>
      <c r="B707" s="16"/>
      <c r="C707" s="25"/>
      <c r="D707" s="16"/>
      <c r="E707" s="16"/>
      <c r="F707" s="16"/>
      <c r="G707" s="17"/>
    </row>
    <row r="708" spans="1:7" ht="18" customHeight="1">
      <c r="A708" s="16"/>
      <c r="B708" s="16"/>
      <c r="C708" s="25"/>
      <c r="D708" s="16"/>
      <c r="E708" s="16"/>
      <c r="F708" s="16"/>
      <c r="G708" s="17"/>
    </row>
    <row r="709" spans="1:7" ht="18" customHeight="1">
      <c r="A709" s="16"/>
      <c r="B709" s="16"/>
      <c r="C709" s="25"/>
      <c r="D709" s="16"/>
      <c r="E709" s="16"/>
      <c r="F709" s="16"/>
      <c r="G709" s="17"/>
    </row>
    <row r="710" spans="1:7" ht="18" customHeight="1">
      <c r="A710" s="16"/>
      <c r="B710" s="16"/>
      <c r="C710" s="25"/>
      <c r="D710" s="16"/>
      <c r="E710" s="16"/>
      <c r="F710" s="16"/>
      <c r="G710" s="17"/>
    </row>
    <row r="711" spans="1:7" ht="18" customHeight="1">
      <c r="A711" s="16"/>
      <c r="B711" s="16"/>
      <c r="C711" s="25"/>
      <c r="D711" s="16"/>
      <c r="E711" s="16"/>
      <c r="F711" s="16"/>
      <c r="G711" s="17"/>
    </row>
    <row r="712" spans="1:7" ht="18" customHeight="1">
      <c r="A712" s="16"/>
      <c r="B712" s="16"/>
      <c r="C712" s="25"/>
      <c r="D712" s="16"/>
      <c r="E712" s="16"/>
      <c r="F712" s="16"/>
      <c r="G712" s="17"/>
    </row>
    <row r="713" spans="1:7" ht="18" customHeight="1">
      <c r="A713" s="16"/>
      <c r="B713" s="16"/>
      <c r="C713" s="25"/>
      <c r="D713" s="16"/>
      <c r="E713" s="16"/>
      <c r="F713" s="16"/>
      <c r="G713" s="17"/>
    </row>
    <row r="714" spans="1:7" ht="18" customHeight="1">
      <c r="A714" s="16"/>
      <c r="B714" s="16"/>
      <c r="C714" s="25"/>
      <c r="D714" s="16"/>
      <c r="E714" s="16"/>
      <c r="F714" s="16"/>
      <c r="G714" s="17"/>
    </row>
    <row r="715" spans="1:7" ht="18" customHeight="1">
      <c r="A715" s="16"/>
      <c r="B715" s="16"/>
      <c r="C715" s="25"/>
      <c r="D715" s="16"/>
      <c r="E715" s="16"/>
      <c r="F715" s="16"/>
      <c r="G715" s="17"/>
    </row>
    <row r="716" spans="1:7" ht="18" customHeight="1">
      <c r="A716" s="16"/>
      <c r="B716" s="16"/>
      <c r="C716" s="25"/>
      <c r="D716" s="16"/>
      <c r="E716" s="16"/>
      <c r="F716" s="16"/>
      <c r="G716" s="17"/>
    </row>
    <row r="717" spans="1:7" ht="18" customHeight="1">
      <c r="A717" s="16"/>
      <c r="B717" s="16"/>
      <c r="C717" s="25"/>
      <c r="D717" s="16"/>
      <c r="E717" s="16"/>
      <c r="F717" s="16"/>
      <c r="G717" s="17"/>
    </row>
    <row r="718" spans="1:7" ht="18" customHeight="1">
      <c r="A718" s="16"/>
      <c r="B718" s="16"/>
      <c r="C718" s="25"/>
      <c r="D718" s="16"/>
      <c r="E718" s="16"/>
      <c r="F718" s="16"/>
      <c r="G718" s="17"/>
    </row>
    <row r="719" spans="1:7" ht="18" customHeight="1">
      <c r="A719" s="16"/>
      <c r="B719" s="16"/>
      <c r="C719" s="25"/>
      <c r="D719" s="16"/>
      <c r="E719" s="16"/>
      <c r="F719" s="16"/>
      <c r="G719" s="17"/>
    </row>
    <row r="720" spans="1:7" ht="18" customHeight="1">
      <c r="A720" s="16"/>
      <c r="B720" s="16"/>
      <c r="C720" s="25"/>
      <c r="D720" s="16"/>
      <c r="E720" s="16"/>
      <c r="F720" s="16"/>
      <c r="G720" s="17"/>
    </row>
    <row r="721" spans="1:7" ht="18" customHeight="1">
      <c r="A721" s="16"/>
      <c r="B721" s="16"/>
      <c r="C721" s="25"/>
      <c r="D721" s="16"/>
      <c r="E721" s="16"/>
      <c r="F721" s="16"/>
      <c r="G721" s="17"/>
    </row>
    <row r="722" spans="1:7" ht="18" customHeight="1">
      <c r="A722" s="16"/>
      <c r="B722" s="16"/>
      <c r="C722" s="25"/>
      <c r="D722" s="16"/>
      <c r="E722" s="16"/>
      <c r="F722" s="16"/>
      <c r="G722" s="17"/>
    </row>
    <row r="723" spans="1:7" ht="18" customHeight="1">
      <c r="A723" s="16"/>
      <c r="B723" s="16"/>
      <c r="C723" s="25"/>
      <c r="D723" s="16"/>
      <c r="E723" s="16"/>
      <c r="F723" s="16"/>
      <c r="G723" s="17"/>
    </row>
    <row r="724" spans="1:7" ht="18" customHeight="1">
      <c r="A724" s="16"/>
      <c r="B724" s="16"/>
      <c r="C724" s="25"/>
      <c r="D724" s="16"/>
      <c r="E724" s="16"/>
      <c r="F724" s="16"/>
      <c r="G724" s="17"/>
    </row>
    <row r="725" spans="1:7" ht="18" customHeight="1">
      <c r="A725" s="16"/>
      <c r="B725" s="16"/>
      <c r="C725" s="25"/>
      <c r="D725" s="16"/>
      <c r="E725" s="16"/>
      <c r="F725" s="16"/>
      <c r="G725" s="17"/>
    </row>
    <row r="726" spans="1:7" ht="18" customHeight="1">
      <c r="A726" s="16"/>
      <c r="B726" s="16"/>
      <c r="C726" s="25"/>
      <c r="D726" s="16"/>
      <c r="E726" s="16"/>
      <c r="F726" s="16"/>
      <c r="G726" s="17"/>
    </row>
    <row r="727" spans="1:7" ht="18" customHeight="1">
      <c r="A727" s="16"/>
      <c r="B727" s="16"/>
      <c r="C727" s="25"/>
      <c r="D727" s="16"/>
      <c r="E727" s="16"/>
      <c r="F727" s="16"/>
      <c r="G727" s="17"/>
    </row>
    <row r="728" spans="1:7" ht="18" customHeight="1">
      <c r="A728" s="16"/>
      <c r="B728" s="16"/>
      <c r="C728" s="25"/>
      <c r="D728" s="16"/>
      <c r="E728" s="16"/>
      <c r="F728" s="16"/>
      <c r="G728" s="17"/>
    </row>
    <row r="729" spans="1:7" ht="18" customHeight="1">
      <c r="A729" s="16"/>
      <c r="B729" s="16"/>
      <c r="C729" s="25"/>
      <c r="D729" s="16"/>
      <c r="E729" s="16"/>
      <c r="F729" s="16"/>
      <c r="G729" s="17"/>
    </row>
    <row r="730" spans="1:7" ht="18" customHeight="1">
      <c r="A730" s="16"/>
      <c r="B730" s="16"/>
      <c r="C730" s="25"/>
      <c r="D730" s="16"/>
      <c r="E730" s="16"/>
      <c r="F730" s="16"/>
      <c r="G730" s="17"/>
    </row>
    <row r="731" spans="1:7" ht="18" customHeight="1">
      <c r="A731" s="16"/>
      <c r="B731" s="16"/>
      <c r="C731" s="25"/>
      <c r="D731" s="16"/>
      <c r="E731" s="16"/>
      <c r="F731" s="16"/>
      <c r="G731" s="17"/>
    </row>
    <row r="732" spans="1:7" ht="18" customHeight="1">
      <c r="A732" s="16"/>
      <c r="B732" s="16"/>
      <c r="C732" s="25"/>
      <c r="D732" s="16"/>
      <c r="E732" s="16"/>
      <c r="F732" s="16"/>
      <c r="G732" s="17"/>
    </row>
    <row r="733" spans="1:7" ht="18" customHeight="1">
      <c r="A733" s="16"/>
      <c r="B733" s="16"/>
      <c r="C733" s="25"/>
      <c r="D733" s="16"/>
      <c r="E733" s="16"/>
      <c r="F733" s="16"/>
      <c r="G733" s="17"/>
    </row>
    <row r="734" spans="1:7" ht="18" customHeight="1">
      <c r="A734" s="16"/>
      <c r="B734" s="16"/>
      <c r="C734" s="25"/>
      <c r="D734" s="16"/>
      <c r="E734" s="16"/>
      <c r="F734" s="16"/>
      <c r="G734" s="17"/>
    </row>
    <row r="735" spans="1:7" ht="18" customHeight="1">
      <c r="A735" s="16"/>
      <c r="B735" s="16"/>
      <c r="C735" s="25"/>
      <c r="D735" s="16"/>
      <c r="E735" s="16"/>
      <c r="F735" s="16"/>
      <c r="G735" s="17"/>
    </row>
    <row r="736" spans="1:7" ht="18" customHeight="1">
      <c r="A736" s="16"/>
      <c r="B736" s="16"/>
      <c r="C736" s="25"/>
      <c r="D736" s="16"/>
      <c r="E736" s="16"/>
      <c r="F736" s="16"/>
      <c r="G736" s="17"/>
    </row>
    <row r="737" spans="1:7" ht="18" customHeight="1">
      <c r="A737" s="16"/>
      <c r="B737" s="16"/>
      <c r="C737" s="25"/>
      <c r="D737" s="16"/>
      <c r="E737" s="16"/>
      <c r="F737" s="16"/>
      <c r="G737" s="17"/>
    </row>
    <row r="738" spans="1:7" ht="18" customHeight="1">
      <c r="A738" s="16"/>
      <c r="B738" s="16"/>
      <c r="C738" s="25"/>
      <c r="D738" s="16"/>
      <c r="E738" s="16"/>
      <c r="F738" s="16"/>
      <c r="G738" s="17"/>
    </row>
    <row r="739" spans="1:7" ht="18" customHeight="1">
      <c r="A739" s="16"/>
      <c r="B739" s="16"/>
      <c r="C739" s="25"/>
      <c r="D739" s="16"/>
      <c r="E739" s="16"/>
      <c r="F739" s="16"/>
      <c r="G739" s="17"/>
    </row>
    <row r="740" spans="1:7" ht="18" customHeight="1">
      <c r="A740" s="16"/>
      <c r="B740" s="16"/>
      <c r="C740" s="25"/>
      <c r="D740" s="16"/>
      <c r="E740" s="16"/>
      <c r="F740" s="16"/>
      <c r="G740" s="17"/>
    </row>
    <row r="741" spans="1:7" ht="18" customHeight="1">
      <c r="A741" s="16"/>
      <c r="B741" s="16"/>
      <c r="C741" s="25"/>
      <c r="D741" s="16"/>
      <c r="E741" s="16"/>
      <c r="F741" s="16"/>
      <c r="G741" s="17"/>
    </row>
    <row r="742" spans="1:7" ht="18" customHeight="1">
      <c r="A742" s="16"/>
      <c r="B742" s="16"/>
      <c r="C742" s="25"/>
      <c r="D742" s="16"/>
      <c r="E742" s="16"/>
      <c r="F742" s="16"/>
      <c r="G742" s="17"/>
    </row>
    <row r="743" spans="1:7" ht="18" customHeight="1">
      <c r="A743" s="16"/>
      <c r="B743" s="16"/>
      <c r="C743" s="25"/>
      <c r="D743" s="16"/>
      <c r="E743" s="16"/>
      <c r="F743" s="16"/>
      <c r="G743" s="17"/>
    </row>
    <row r="744" spans="1:7" ht="18" customHeight="1">
      <c r="A744" s="16"/>
      <c r="B744" s="16"/>
      <c r="C744" s="25"/>
      <c r="D744" s="16"/>
      <c r="E744" s="16"/>
      <c r="F744" s="16"/>
      <c r="G744" s="17"/>
    </row>
    <row r="745" spans="1:7" ht="18" customHeight="1">
      <c r="A745" s="16"/>
      <c r="B745" s="16"/>
      <c r="C745" s="25"/>
      <c r="D745" s="16"/>
      <c r="E745" s="16"/>
      <c r="F745" s="16"/>
      <c r="G745" s="17"/>
    </row>
    <row r="746" spans="1:7" ht="18" customHeight="1">
      <c r="A746" s="16"/>
      <c r="B746" s="16"/>
      <c r="C746" s="25"/>
      <c r="D746" s="16"/>
      <c r="E746" s="16"/>
      <c r="F746" s="16"/>
      <c r="G746" s="17"/>
    </row>
    <row r="747" spans="1:7" ht="18" customHeight="1">
      <c r="A747" s="16"/>
      <c r="B747" s="16"/>
      <c r="C747" s="25"/>
      <c r="D747" s="16"/>
      <c r="E747" s="16"/>
      <c r="F747" s="16"/>
      <c r="G747" s="17"/>
    </row>
    <row r="748" spans="1:7" ht="18" customHeight="1">
      <c r="A748" s="16"/>
      <c r="B748" s="16"/>
      <c r="C748" s="25"/>
      <c r="D748" s="16"/>
      <c r="E748" s="16"/>
      <c r="F748" s="16"/>
      <c r="G748" s="17"/>
    </row>
    <row r="749" spans="1:7" ht="18" customHeight="1">
      <c r="A749" s="16"/>
      <c r="B749" s="16"/>
      <c r="C749" s="25"/>
      <c r="D749" s="16"/>
      <c r="E749" s="16"/>
      <c r="F749" s="16"/>
      <c r="G749" s="17"/>
    </row>
    <row r="750" spans="1:7" ht="18" customHeight="1">
      <c r="A750" s="16"/>
      <c r="B750" s="16"/>
      <c r="C750" s="25"/>
      <c r="D750" s="16"/>
      <c r="E750" s="16"/>
      <c r="F750" s="16"/>
      <c r="G750" s="17"/>
    </row>
    <row r="751" spans="1:7" ht="18" customHeight="1">
      <c r="A751" s="16"/>
      <c r="B751" s="16"/>
      <c r="C751" s="25"/>
      <c r="D751" s="16"/>
      <c r="E751" s="16"/>
      <c r="F751" s="16"/>
      <c r="G751" s="17"/>
    </row>
    <row r="752" spans="1:7" ht="18" customHeight="1">
      <c r="A752" s="16"/>
      <c r="B752" s="16"/>
      <c r="C752" s="25"/>
      <c r="D752" s="16"/>
      <c r="E752" s="16"/>
      <c r="F752" s="16"/>
      <c r="G752" s="17"/>
    </row>
    <row r="753" spans="1:7" ht="18" customHeight="1">
      <c r="A753" s="16"/>
      <c r="B753" s="16"/>
      <c r="C753" s="25"/>
      <c r="D753" s="16"/>
      <c r="E753" s="16"/>
      <c r="F753" s="16"/>
      <c r="G753" s="17"/>
    </row>
    <row r="754" spans="1:7" ht="18" customHeight="1">
      <c r="A754" s="16"/>
      <c r="B754" s="16"/>
      <c r="C754" s="25"/>
      <c r="D754" s="16"/>
      <c r="E754" s="16"/>
      <c r="F754" s="16"/>
      <c r="G754" s="17"/>
    </row>
    <row r="755" spans="1:7" ht="18" customHeight="1">
      <c r="A755" s="16"/>
      <c r="B755" s="16"/>
      <c r="C755" s="25"/>
      <c r="D755" s="16"/>
      <c r="E755" s="16"/>
      <c r="F755" s="16"/>
      <c r="G755" s="17"/>
    </row>
    <row r="756" spans="1:7" ht="18" customHeight="1">
      <c r="A756" s="16"/>
      <c r="B756" s="16"/>
      <c r="C756" s="25"/>
      <c r="D756" s="16"/>
      <c r="E756" s="16"/>
      <c r="F756" s="16"/>
      <c r="G756" s="17"/>
    </row>
    <row r="757" spans="1:7" ht="18" customHeight="1">
      <c r="A757" s="16"/>
      <c r="B757" s="16"/>
      <c r="C757" s="25"/>
      <c r="D757" s="16"/>
      <c r="E757" s="16"/>
      <c r="F757" s="16"/>
      <c r="G757" s="17"/>
    </row>
    <row r="758" spans="1:7" ht="18" customHeight="1">
      <c r="A758" s="16"/>
      <c r="B758" s="16"/>
      <c r="C758" s="25"/>
      <c r="D758" s="16"/>
      <c r="E758" s="16"/>
      <c r="F758" s="16"/>
      <c r="G758" s="17"/>
    </row>
    <row r="759" spans="1:7" ht="18" customHeight="1">
      <c r="A759" s="16"/>
      <c r="B759" s="16"/>
      <c r="C759" s="25"/>
      <c r="D759" s="16"/>
      <c r="E759" s="16"/>
      <c r="F759" s="16"/>
      <c r="G759" s="17"/>
    </row>
    <row r="760" spans="1:7" ht="18" customHeight="1">
      <c r="A760" s="16"/>
      <c r="B760" s="16"/>
      <c r="C760" s="25"/>
      <c r="D760" s="16"/>
      <c r="E760" s="16"/>
      <c r="F760" s="16"/>
      <c r="G760" s="17"/>
    </row>
    <row r="761" spans="1:7" ht="18" customHeight="1">
      <c r="A761" s="16"/>
      <c r="B761" s="16"/>
      <c r="C761" s="25"/>
      <c r="D761" s="16"/>
      <c r="E761" s="16"/>
      <c r="F761" s="16"/>
      <c r="G761" s="17"/>
    </row>
    <row r="762" spans="1:7" ht="18" customHeight="1">
      <c r="A762" s="16"/>
      <c r="B762" s="16"/>
      <c r="C762" s="25"/>
      <c r="D762" s="16"/>
      <c r="E762" s="16"/>
      <c r="F762" s="16"/>
      <c r="G762" s="17"/>
    </row>
    <row r="763" spans="1:7" ht="18" customHeight="1">
      <c r="A763" s="16"/>
      <c r="B763" s="16"/>
      <c r="C763" s="25"/>
      <c r="D763" s="16"/>
      <c r="E763" s="16"/>
      <c r="F763" s="16"/>
      <c r="G763" s="17"/>
    </row>
    <row r="764" spans="1:7" ht="18" customHeight="1">
      <c r="A764" s="16"/>
      <c r="B764" s="16"/>
      <c r="C764" s="25"/>
      <c r="D764" s="16"/>
      <c r="E764" s="16"/>
      <c r="F764" s="16"/>
      <c r="G764" s="17"/>
    </row>
    <row r="765" spans="1:7" ht="18" customHeight="1">
      <c r="A765" s="16"/>
      <c r="B765" s="16"/>
      <c r="C765" s="25"/>
      <c r="D765" s="16"/>
      <c r="E765" s="16"/>
      <c r="F765" s="16"/>
      <c r="G765" s="17"/>
    </row>
    <row r="766" spans="1:7" ht="18" customHeight="1">
      <c r="A766" s="16"/>
      <c r="B766" s="16"/>
      <c r="C766" s="25"/>
      <c r="D766" s="16"/>
      <c r="E766" s="16"/>
      <c r="F766" s="16"/>
      <c r="G766" s="17"/>
    </row>
    <row r="767" spans="1:7" ht="18" customHeight="1">
      <c r="A767" s="16"/>
      <c r="B767" s="16"/>
      <c r="C767" s="25"/>
      <c r="D767" s="16"/>
      <c r="E767" s="16"/>
      <c r="F767" s="16"/>
      <c r="G767" s="17"/>
    </row>
    <row r="768" spans="1:7" ht="18" customHeight="1">
      <c r="A768" s="16"/>
      <c r="B768" s="16"/>
      <c r="C768" s="25"/>
      <c r="D768" s="16"/>
      <c r="E768" s="16"/>
      <c r="F768" s="16"/>
      <c r="G768" s="17"/>
    </row>
    <row r="769" spans="1:7" ht="18" customHeight="1">
      <c r="A769" s="16"/>
      <c r="B769" s="16"/>
      <c r="C769" s="25"/>
      <c r="D769" s="16"/>
      <c r="E769" s="16"/>
      <c r="F769" s="16"/>
      <c r="G769" s="17"/>
    </row>
    <row r="770" spans="1:7" ht="18" customHeight="1">
      <c r="A770" s="16"/>
      <c r="B770" s="16"/>
      <c r="C770" s="25"/>
      <c r="D770" s="16"/>
      <c r="E770" s="16"/>
      <c r="F770" s="16"/>
      <c r="G770" s="17"/>
    </row>
    <row r="771" spans="1:7" ht="18" customHeight="1">
      <c r="A771" s="16"/>
      <c r="B771" s="16"/>
      <c r="C771" s="25"/>
      <c r="D771" s="16"/>
      <c r="E771" s="16"/>
      <c r="F771" s="16"/>
      <c r="G771" s="17"/>
    </row>
    <row r="772" spans="1:7" ht="18" customHeight="1">
      <c r="A772" s="16"/>
      <c r="B772" s="16"/>
      <c r="C772" s="25"/>
      <c r="D772" s="16"/>
      <c r="E772" s="16"/>
      <c r="F772" s="16"/>
      <c r="G772" s="17"/>
    </row>
    <row r="773" spans="1:7" ht="18" customHeight="1">
      <c r="A773" s="16"/>
      <c r="B773" s="16"/>
      <c r="C773" s="25"/>
      <c r="D773" s="16"/>
      <c r="E773" s="16"/>
      <c r="F773" s="16"/>
      <c r="G773" s="17"/>
    </row>
    <row r="774" spans="1:7" ht="18" customHeight="1">
      <c r="A774" s="16"/>
      <c r="B774" s="16"/>
      <c r="C774" s="25"/>
      <c r="D774" s="16"/>
      <c r="E774" s="16"/>
      <c r="F774" s="16"/>
      <c r="G774" s="17"/>
    </row>
    <row r="775" spans="1:7" ht="18" customHeight="1">
      <c r="A775" s="16"/>
      <c r="B775" s="16"/>
      <c r="C775" s="25"/>
      <c r="D775" s="16"/>
      <c r="E775" s="16"/>
      <c r="F775" s="16"/>
      <c r="G775" s="17"/>
    </row>
    <row r="776" spans="1:7" ht="18" customHeight="1">
      <c r="A776" s="16"/>
      <c r="B776" s="16"/>
      <c r="C776" s="25"/>
      <c r="D776" s="16"/>
      <c r="E776" s="16"/>
      <c r="F776" s="16"/>
      <c r="G776" s="17"/>
    </row>
    <row r="777" spans="1:7" ht="18" customHeight="1">
      <c r="A777" s="16"/>
      <c r="B777" s="16"/>
      <c r="C777" s="25"/>
      <c r="D777" s="16"/>
      <c r="E777" s="16"/>
      <c r="F777" s="16"/>
      <c r="G777" s="17"/>
    </row>
    <row r="778" spans="1:7" ht="18" customHeight="1">
      <c r="A778" s="16"/>
      <c r="B778" s="16"/>
      <c r="C778" s="25"/>
      <c r="D778" s="16"/>
      <c r="E778" s="16"/>
      <c r="F778" s="16"/>
      <c r="G778" s="17"/>
    </row>
    <row r="779" spans="1:7" ht="18" customHeight="1">
      <c r="A779" s="16"/>
      <c r="B779" s="16"/>
      <c r="C779" s="25"/>
      <c r="D779" s="16"/>
      <c r="E779" s="16"/>
      <c r="F779" s="16"/>
      <c r="G779" s="17"/>
    </row>
    <row r="780" spans="1:7" ht="18" customHeight="1">
      <c r="A780" s="16"/>
      <c r="B780" s="16"/>
      <c r="C780" s="25"/>
      <c r="D780" s="16"/>
      <c r="E780" s="16"/>
      <c r="F780" s="16"/>
      <c r="G780" s="17"/>
    </row>
    <row r="781" spans="1:7" ht="18" customHeight="1">
      <c r="A781" s="16"/>
      <c r="B781" s="16"/>
      <c r="C781" s="25"/>
      <c r="D781" s="16"/>
      <c r="E781" s="16"/>
      <c r="F781" s="16"/>
      <c r="G781" s="17"/>
    </row>
    <row r="782" spans="1:7" ht="18" customHeight="1">
      <c r="A782" s="16"/>
      <c r="B782" s="16"/>
      <c r="C782" s="25"/>
      <c r="D782" s="16"/>
      <c r="E782" s="16"/>
      <c r="F782" s="16"/>
      <c r="G782" s="17"/>
    </row>
    <row r="783" spans="1:7" ht="18" customHeight="1">
      <c r="A783" s="16"/>
      <c r="B783" s="16"/>
      <c r="C783" s="25"/>
      <c r="D783" s="16"/>
      <c r="E783" s="16"/>
      <c r="F783" s="16"/>
      <c r="G783" s="17"/>
    </row>
    <row r="784" spans="1:7" ht="18" customHeight="1">
      <c r="A784" s="16"/>
      <c r="B784" s="16"/>
      <c r="C784" s="25"/>
      <c r="D784" s="16"/>
      <c r="E784" s="16"/>
      <c r="F784" s="16"/>
      <c r="G784" s="17"/>
    </row>
    <row r="785" spans="1:7" ht="18" customHeight="1">
      <c r="A785" s="16"/>
      <c r="B785" s="16"/>
      <c r="C785" s="25"/>
      <c r="D785" s="16"/>
      <c r="E785" s="16"/>
      <c r="F785" s="16"/>
      <c r="G785" s="17"/>
    </row>
    <row r="786" spans="1:7" ht="18" customHeight="1">
      <c r="A786" s="16"/>
      <c r="B786" s="16"/>
      <c r="C786" s="25"/>
      <c r="D786" s="16"/>
      <c r="E786" s="16"/>
      <c r="F786" s="16"/>
      <c r="G786" s="17"/>
    </row>
    <row r="787" spans="1:7" ht="18" customHeight="1">
      <c r="A787" s="16"/>
      <c r="B787" s="16"/>
      <c r="C787" s="25"/>
      <c r="D787" s="16"/>
      <c r="E787" s="16"/>
      <c r="F787" s="16"/>
      <c r="G787" s="17"/>
    </row>
    <row r="788" spans="1:7" ht="18" customHeight="1">
      <c r="A788" s="16"/>
      <c r="B788" s="16"/>
      <c r="C788" s="25"/>
      <c r="D788" s="16"/>
      <c r="E788" s="16"/>
      <c r="F788" s="16"/>
      <c r="G788" s="17"/>
    </row>
    <row r="789" spans="1:7" ht="18" customHeight="1">
      <c r="A789" s="16"/>
      <c r="B789" s="16"/>
      <c r="C789" s="25"/>
      <c r="D789" s="16"/>
      <c r="E789" s="16"/>
      <c r="F789" s="16"/>
      <c r="G789" s="17"/>
    </row>
    <row r="790" spans="1:7" ht="18" customHeight="1">
      <c r="A790" s="16"/>
      <c r="B790" s="16"/>
      <c r="C790" s="25"/>
      <c r="D790" s="16"/>
      <c r="E790" s="16"/>
      <c r="F790" s="16"/>
      <c r="G790" s="17"/>
    </row>
    <row r="791" spans="1:7" ht="18" customHeight="1">
      <c r="A791" s="16"/>
      <c r="B791" s="16"/>
      <c r="C791" s="25"/>
      <c r="D791" s="16"/>
      <c r="E791" s="16"/>
      <c r="F791" s="16"/>
      <c r="G791" s="17"/>
    </row>
    <row r="792" spans="1:7" ht="18" customHeight="1">
      <c r="A792" s="16"/>
      <c r="B792" s="16"/>
      <c r="C792" s="25"/>
      <c r="D792" s="16"/>
      <c r="E792" s="16"/>
      <c r="F792" s="16"/>
      <c r="G792" s="17"/>
    </row>
    <row r="793" spans="1:7" ht="18" customHeight="1">
      <c r="A793" s="16"/>
      <c r="B793" s="16"/>
      <c r="C793" s="25"/>
      <c r="D793" s="16"/>
      <c r="E793" s="16"/>
      <c r="F793" s="16"/>
      <c r="G793" s="17"/>
    </row>
    <row r="794" spans="1:7" ht="18" customHeight="1">
      <c r="A794" s="16"/>
      <c r="B794" s="16"/>
      <c r="C794" s="25"/>
      <c r="D794" s="16"/>
      <c r="E794" s="16"/>
      <c r="F794" s="16"/>
      <c r="G794" s="17"/>
    </row>
    <row r="795" spans="1:7" ht="18" customHeight="1">
      <c r="A795" s="16"/>
      <c r="B795" s="16"/>
      <c r="C795" s="25"/>
      <c r="D795" s="16"/>
      <c r="E795" s="16"/>
      <c r="F795" s="16"/>
      <c r="G795" s="17"/>
    </row>
    <row r="796" spans="1:7" ht="18" customHeight="1">
      <c r="A796" s="16"/>
      <c r="B796" s="16"/>
      <c r="C796" s="25"/>
      <c r="D796" s="16"/>
      <c r="E796" s="16"/>
      <c r="F796" s="16"/>
      <c r="G796" s="17"/>
    </row>
    <row r="797" spans="1:7" ht="18" customHeight="1">
      <c r="A797" s="16"/>
      <c r="B797" s="16"/>
      <c r="C797" s="25"/>
      <c r="D797" s="16"/>
      <c r="E797" s="16"/>
      <c r="F797" s="16"/>
      <c r="G797" s="17"/>
    </row>
    <row r="798" spans="1:7" ht="18" customHeight="1">
      <c r="A798" s="16"/>
      <c r="B798" s="16"/>
      <c r="C798" s="25"/>
      <c r="D798" s="16"/>
      <c r="E798" s="16"/>
      <c r="F798" s="16"/>
      <c r="G798" s="17"/>
    </row>
    <row r="799" spans="1:7" ht="18" customHeight="1">
      <c r="A799" s="16"/>
      <c r="B799" s="16"/>
      <c r="C799" s="25"/>
      <c r="D799" s="16"/>
      <c r="E799" s="16"/>
      <c r="F799" s="16"/>
      <c r="G799" s="17"/>
    </row>
    <row r="800" spans="1:7" ht="18" customHeight="1">
      <c r="A800" s="16"/>
      <c r="B800" s="16"/>
      <c r="C800" s="25"/>
      <c r="D800" s="16"/>
      <c r="E800" s="16"/>
      <c r="F800" s="16"/>
      <c r="G800" s="17"/>
    </row>
    <row r="801" spans="1:7" ht="18" customHeight="1">
      <c r="A801" s="16"/>
      <c r="B801" s="16"/>
      <c r="C801" s="25"/>
      <c r="D801" s="16"/>
      <c r="E801" s="16"/>
      <c r="F801" s="16"/>
      <c r="G801" s="17"/>
    </row>
    <row r="802" spans="1:7" ht="18" customHeight="1">
      <c r="A802" s="16"/>
      <c r="B802" s="16"/>
      <c r="C802" s="25"/>
      <c r="D802" s="16"/>
      <c r="E802" s="16"/>
      <c r="F802" s="16"/>
      <c r="G802" s="17"/>
    </row>
    <row r="803" spans="1:7" ht="18" customHeight="1">
      <c r="A803" s="16"/>
      <c r="B803" s="16"/>
      <c r="C803" s="25"/>
      <c r="D803" s="16"/>
      <c r="E803" s="16"/>
      <c r="F803" s="16"/>
      <c r="G803" s="17"/>
    </row>
    <row r="804" spans="1:7" ht="18" customHeight="1">
      <c r="A804" s="16"/>
      <c r="B804" s="16"/>
      <c r="C804" s="25"/>
      <c r="D804" s="16"/>
      <c r="E804" s="16"/>
      <c r="F804" s="16"/>
      <c r="G804" s="17"/>
    </row>
    <row r="805" spans="1:7" ht="18" customHeight="1">
      <c r="A805" s="16"/>
      <c r="B805" s="16"/>
      <c r="C805" s="25"/>
      <c r="D805" s="16"/>
      <c r="E805" s="16"/>
      <c r="F805" s="16"/>
      <c r="G805" s="17"/>
    </row>
    <row r="806" spans="1:7" ht="18" customHeight="1">
      <c r="A806" s="16"/>
      <c r="B806" s="16"/>
      <c r="C806" s="25"/>
      <c r="D806" s="16"/>
      <c r="E806" s="16"/>
      <c r="F806" s="16"/>
      <c r="G806" s="17"/>
    </row>
    <row r="807" spans="1:7" ht="18" customHeight="1">
      <c r="A807" s="16"/>
      <c r="B807" s="16"/>
      <c r="C807" s="25"/>
      <c r="D807" s="16"/>
      <c r="E807" s="16"/>
      <c r="F807" s="16"/>
      <c r="G807" s="17"/>
    </row>
    <row r="808" spans="1:7" ht="18" customHeight="1">
      <c r="A808" s="16"/>
      <c r="B808" s="16"/>
      <c r="C808" s="25"/>
      <c r="D808" s="16"/>
      <c r="E808" s="16"/>
      <c r="F808" s="16"/>
      <c r="G808" s="17"/>
    </row>
    <row r="809" spans="1:7" ht="18" customHeight="1">
      <c r="A809" s="16"/>
      <c r="B809" s="16"/>
      <c r="C809" s="25"/>
      <c r="D809" s="16"/>
      <c r="E809" s="16"/>
      <c r="F809" s="16"/>
      <c r="G809" s="17"/>
    </row>
    <row r="810" spans="1:7" ht="18" customHeight="1">
      <c r="A810" s="16"/>
      <c r="B810" s="16"/>
      <c r="C810" s="25"/>
      <c r="D810" s="16"/>
      <c r="E810" s="16"/>
      <c r="F810" s="16"/>
      <c r="G810" s="17"/>
    </row>
    <row r="811" spans="1:7" ht="18" customHeight="1">
      <c r="A811" s="16"/>
      <c r="B811" s="16"/>
      <c r="C811" s="25"/>
      <c r="D811" s="16"/>
      <c r="E811" s="16"/>
      <c r="F811" s="16"/>
      <c r="G811" s="17"/>
    </row>
    <row r="812" spans="1:7" ht="18" customHeight="1">
      <c r="A812" s="16"/>
      <c r="B812" s="16"/>
      <c r="C812" s="25"/>
      <c r="D812" s="16"/>
      <c r="E812" s="16"/>
      <c r="F812" s="16"/>
      <c r="G812" s="17"/>
    </row>
    <row r="813" spans="1:7" ht="18" customHeight="1">
      <c r="A813" s="16"/>
      <c r="B813" s="16"/>
      <c r="C813" s="25"/>
      <c r="D813" s="16"/>
      <c r="E813" s="16"/>
      <c r="F813" s="16"/>
      <c r="G813" s="17"/>
    </row>
    <row r="814" spans="1:7" ht="18" customHeight="1">
      <c r="A814" s="16"/>
      <c r="B814" s="16"/>
      <c r="C814" s="25"/>
      <c r="D814" s="16"/>
      <c r="E814" s="16"/>
      <c r="F814" s="16"/>
      <c r="G814" s="17"/>
    </row>
    <row r="815" spans="1:7" ht="18" customHeight="1">
      <c r="A815" s="16"/>
      <c r="B815" s="16"/>
      <c r="C815" s="25"/>
      <c r="D815" s="16"/>
      <c r="E815" s="16"/>
      <c r="F815" s="16"/>
      <c r="G815" s="17"/>
    </row>
    <row r="816" spans="1:7" ht="18" customHeight="1">
      <c r="A816" s="16"/>
      <c r="B816" s="16"/>
      <c r="C816" s="25"/>
      <c r="D816" s="16"/>
      <c r="E816" s="16"/>
      <c r="F816" s="16"/>
      <c r="G816" s="17"/>
    </row>
    <row r="817" spans="1:7" ht="18" customHeight="1">
      <c r="A817" s="16"/>
      <c r="B817" s="16"/>
      <c r="C817" s="25"/>
      <c r="D817" s="16"/>
      <c r="E817" s="16"/>
      <c r="F817" s="16"/>
      <c r="G817" s="17"/>
    </row>
    <row r="818" spans="1:7" ht="18" customHeight="1">
      <c r="A818" s="16"/>
      <c r="B818" s="16"/>
      <c r="C818" s="25"/>
      <c r="D818" s="16"/>
      <c r="E818" s="16"/>
      <c r="F818" s="16"/>
      <c r="G818" s="17"/>
    </row>
    <row r="819" spans="1:7" ht="18" customHeight="1">
      <c r="A819" s="16"/>
      <c r="B819" s="16"/>
      <c r="C819" s="25"/>
      <c r="D819" s="16"/>
      <c r="E819" s="16"/>
      <c r="F819" s="16"/>
      <c r="G819" s="17"/>
    </row>
    <row r="820" spans="1:7" ht="18" customHeight="1">
      <c r="A820" s="16"/>
      <c r="B820" s="16"/>
      <c r="C820" s="25"/>
      <c r="D820" s="16"/>
      <c r="E820" s="16"/>
      <c r="F820" s="16"/>
      <c r="G820" s="17"/>
    </row>
    <row r="821" spans="1:7" ht="18" customHeight="1">
      <c r="A821" s="16"/>
      <c r="B821" s="16"/>
      <c r="C821" s="25"/>
      <c r="D821" s="16"/>
      <c r="E821" s="16"/>
      <c r="F821" s="16"/>
      <c r="G821" s="17"/>
    </row>
    <row r="822" spans="1:7" ht="18" customHeight="1">
      <c r="A822" s="16"/>
      <c r="B822" s="16"/>
      <c r="C822" s="25"/>
      <c r="D822" s="16"/>
      <c r="E822" s="16"/>
      <c r="F822" s="16"/>
      <c r="G822" s="17"/>
    </row>
    <row r="823" spans="1:7" ht="18" customHeight="1">
      <c r="A823" s="16"/>
      <c r="B823" s="16"/>
      <c r="C823" s="25"/>
      <c r="D823" s="16"/>
      <c r="E823" s="16"/>
      <c r="F823" s="16"/>
      <c r="G823" s="17"/>
    </row>
    <row r="824" spans="1:7" ht="18" customHeight="1">
      <c r="A824" s="16"/>
      <c r="B824" s="16"/>
      <c r="C824" s="25"/>
      <c r="D824" s="16"/>
      <c r="E824" s="16"/>
      <c r="F824" s="16"/>
      <c r="G824" s="17"/>
    </row>
    <row r="825" spans="1:7" ht="18" customHeight="1">
      <c r="A825" s="16"/>
      <c r="B825" s="16"/>
      <c r="C825" s="25"/>
      <c r="D825" s="16"/>
      <c r="E825" s="16"/>
      <c r="F825" s="16"/>
      <c r="G825" s="17"/>
    </row>
    <row r="826" spans="1:7" ht="18" customHeight="1">
      <c r="A826" s="16"/>
      <c r="B826" s="16"/>
      <c r="C826" s="25"/>
      <c r="D826" s="16"/>
      <c r="E826" s="16"/>
      <c r="F826" s="16"/>
      <c r="G826" s="17"/>
    </row>
    <row r="827" spans="1:7" ht="18" customHeight="1">
      <c r="A827" s="16"/>
      <c r="B827" s="16"/>
      <c r="C827" s="25"/>
      <c r="D827" s="16"/>
      <c r="E827" s="16"/>
      <c r="F827" s="16"/>
      <c r="G827" s="17"/>
    </row>
    <row r="828" spans="1:7" ht="18" customHeight="1">
      <c r="A828" s="16"/>
      <c r="B828" s="16"/>
      <c r="C828" s="25"/>
      <c r="D828" s="16"/>
      <c r="E828" s="16"/>
      <c r="F828" s="16"/>
      <c r="G828" s="17"/>
    </row>
    <row r="829" spans="1:7" ht="18" customHeight="1">
      <c r="A829" s="16"/>
      <c r="B829" s="16"/>
      <c r="C829" s="25"/>
      <c r="D829" s="16"/>
      <c r="E829" s="16"/>
      <c r="F829" s="16"/>
      <c r="G829" s="17"/>
    </row>
    <row r="830" spans="1:7" ht="18" customHeight="1">
      <c r="A830" s="16"/>
      <c r="B830" s="16"/>
      <c r="C830" s="25"/>
      <c r="D830" s="16"/>
      <c r="E830" s="16"/>
      <c r="F830" s="16"/>
      <c r="G830" s="17"/>
    </row>
    <row r="831" spans="1:7" ht="18" customHeight="1">
      <c r="A831" s="16"/>
      <c r="B831" s="16"/>
      <c r="C831" s="25"/>
      <c r="D831" s="16"/>
      <c r="E831" s="16"/>
      <c r="F831" s="16"/>
      <c r="G831" s="17"/>
    </row>
    <row r="832" spans="1:7" ht="18" customHeight="1">
      <c r="A832" s="16"/>
      <c r="B832" s="16"/>
      <c r="C832" s="25"/>
      <c r="D832" s="16"/>
      <c r="E832" s="16"/>
      <c r="F832" s="16"/>
      <c r="G832" s="17"/>
    </row>
    <row r="833" spans="1:7" ht="18" customHeight="1">
      <c r="A833" s="16"/>
      <c r="B833" s="16"/>
      <c r="C833" s="25"/>
      <c r="D833" s="16"/>
      <c r="E833" s="16"/>
      <c r="F833" s="16"/>
      <c r="G833" s="17"/>
    </row>
    <row r="834" spans="1:7" ht="18" customHeight="1">
      <c r="A834" s="16"/>
      <c r="B834" s="16"/>
      <c r="C834" s="25"/>
      <c r="D834" s="16"/>
      <c r="E834" s="16"/>
      <c r="F834" s="16"/>
      <c r="G834" s="17"/>
    </row>
    <row r="835" spans="1:7" ht="18" customHeight="1">
      <c r="A835" s="16"/>
      <c r="B835" s="16"/>
      <c r="C835" s="25"/>
      <c r="D835" s="16"/>
      <c r="E835" s="16"/>
      <c r="F835" s="16"/>
      <c r="G835" s="17"/>
    </row>
    <row r="836" spans="1:7" ht="18" customHeight="1">
      <c r="A836" s="16"/>
      <c r="B836" s="16"/>
      <c r="C836" s="25"/>
      <c r="D836" s="16"/>
      <c r="E836" s="16"/>
      <c r="F836" s="16"/>
      <c r="G836" s="17"/>
    </row>
    <row r="837" spans="1:7" ht="18" customHeight="1">
      <c r="A837" s="16"/>
      <c r="B837" s="16"/>
      <c r="C837" s="25"/>
      <c r="D837" s="16"/>
      <c r="E837" s="16"/>
      <c r="F837" s="16"/>
      <c r="G837" s="17"/>
    </row>
    <row r="838" spans="1:7" ht="18" customHeight="1">
      <c r="A838" s="16"/>
      <c r="B838" s="16"/>
      <c r="C838" s="25"/>
      <c r="D838" s="16"/>
      <c r="E838" s="16"/>
      <c r="F838" s="16"/>
      <c r="G838" s="17"/>
    </row>
    <row r="839" spans="1:7" ht="18" customHeight="1">
      <c r="A839" s="16"/>
      <c r="B839" s="16"/>
      <c r="C839" s="25"/>
      <c r="D839" s="16"/>
      <c r="E839" s="16"/>
      <c r="F839" s="16"/>
      <c r="G839" s="17"/>
    </row>
    <row r="840" spans="1:7" ht="18" customHeight="1">
      <c r="A840" s="16"/>
      <c r="B840" s="16"/>
      <c r="C840" s="25"/>
      <c r="D840" s="16"/>
      <c r="E840" s="16"/>
      <c r="F840" s="16"/>
      <c r="G840" s="17"/>
    </row>
    <row r="841" spans="1:7" ht="18" customHeight="1">
      <c r="A841" s="16"/>
      <c r="B841" s="16"/>
      <c r="C841" s="25"/>
      <c r="D841" s="16"/>
      <c r="E841" s="16"/>
      <c r="F841" s="16"/>
      <c r="G841" s="17"/>
    </row>
    <row r="842" spans="1:7" ht="18" customHeight="1">
      <c r="A842" s="16"/>
      <c r="B842" s="16"/>
      <c r="C842" s="25"/>
      <c r="D842" s="16"/>
      <c r="E842" s="16"/>
      <c r="F842" s="16"/>
      <c r="G842" s="17"/>
    </row>
    <row r="843" spans="1:7" ht="18" customHeight="1">
      <c r="A843" s="16"/>
      <c r="B843" s="16"/>
      <c r="C843" s="25"/>
      <c r="D843" s="16"/>
      <c r="E843" s="16"/>
      <c r="F843" s="16"/>
      <c r="G843" s="17"/>
    </row>
    <row r="844" spans="1:7" ht="18" customHeight="1">
      <c r="A844" s="16"/>
      <c r="B844" s="16"/>
      <c r="C844" s="25"/>
      <c r="D844" s="16"/>
      <c r="E844" s="16"/>
      <c r="F844" s="16"/>
      <c r="G844" s="17"/>
    </row>
    <row r="845" spans="1:7" ht="18" customHeight="1">
      <c r="A845" s="16"/>
      <c r="B845" s="16"/>
      <c r="C845" s="25"/>
      <c r="D845" s="16"/>
      <c r="E845" s="16"/>
      <c r="F845" s="16"/>
      <c r="G845" s="17"/>
    </row>
    <row r="846" spans="1:7" ht="18" customHeight="1">
      <c r="A846" s="16"/>
      <c r="B846" s="16"/>
      <c r="C846" s="25"/>
      <c r="D846" s="16"/>
      <c r="E846" s="16"/>
      <c r="F846" s="16"/>
      <c r="G846" s="17"/>
    </row>
    <row r="847" spans="1:7" ht="18" customHeight="1">
      <c r="A847" s="16"/>
      <c r="B847" s="16"/>
      <c r="C847" s="25"/>
      <c r="D847" s="16"/>
      <c r="E847" s="16"/>
      <c r="F847" s="16"/>
      <c r="G847" s="17"/>
    </row>
    <row r="848" spans="1:7" ht="18" customHeight="1">
      <c r="A848" s="16"/>
      <c r="B848" s="16"/>
      <c r="C848" s="25"/>
      <c r="D848" s="16"/>
      <c r="E848" s="16"/>
      <c r="F848" s="16"/>
      <c r="G848" s="17"/>
    </row>
    <row r="849" spans="1:7" ht="18" customHeight="1">
      <c r="A849" s="16"/>
      <c r="B849" s="16"/>
      <c r="C849" s="25"/>
      <c r="D849" s="16"/>
      <c r="E849" s="16"/>
      <c r="F849" s="16"/>
      <c r="G849" s="17"/>
    </row>
    <row r="850" spans="1:7" ht="18" customHeight="1">
      <c r="A850" s="16"/>
      <c r="B850" s="16"/>
      <c r="C850" s="25"/>
      <c r="D850" s="16"/>
      <c r="E850" s="16"/>
      <c r="F850" s="16"/>
      <c r="G850" s="17"/>
    </row>
    <row r="851" spans="1:7" ht="18" customHeight="1">
      <c r="A851" s="16"/>
      <c r="B851" s="16"/>
      <c r="C851" s="25"/>
      <c r="D851" s="16"/>
      <c r="E851" s="16"/>
      <c r="F851" s="16"/>
      <c r="G851" s="17"/>
    </row>
    <row r="852" spans="1:7" ht="18" customHeight="1">
      <c r="A852" s="16"/>
      <c r="B852" s="16"/>
      <c r="C852" s="25"/>
      <c r="D852" s="16"/>
      <c r="E852" s="16"/>
      <c r="F852" s="16"/>
      <c r="G852" s="17"/>
    </row>
    <row r="853" spans="1:7" ht="18" customHeight="1">
      <c r="A853" s="16"/>
      <c r="B853" s="16"/>
      <c r="C853" s="25"/>
      <c r="D853" s="16"/>
      <c r="E853" s="16"/>
      <c r="F853" s="16"/>
      <c r="G853" s="17"/>
    </row>
    <row r="854" spans="1:7" ht="18" customHeight="1">
      <c r="A854" s="16"/>
      <c r="B854" s="16"/>
      <c r="C854" s="25"/>
      <c r="D854" s="16"/>
      <c r="E854" s="16"/>
      <c r="F854" s="16"/>
      <c r="G854" s="17"/>
    </row>
    <row r="855" spans="1:7" ht="18" customHeight="1">
      <c r="A855" s="16"/>
      <c r="B855" s="16"/>
      <c r="C855" s="25"/>
      <c r="D855" s="16"/>
      <c r="E855" s="16"/>
      <c r="F855" s="16"/>
      <c r="G855" s="17"/>
    </row>
    <row r="856" spans="1:7" ht="18" customHeight="1">
      <c r="A856" s="16"/>
      <c r="B856" s="16"/>
      <c r="C856" s="25"/>
      <c r="D856" s="16"/>
      <c r="E856" s="16"/>
      <c r="F856" s="16"/>
      <c r="G856" s="17"/>
    </row>
    <row r="857" spans="1:7" ht="18" customHeight="1">
      <c r="A857" s="16"/>
      <c r="B857" s="16"/>
      <c r="C857" s="25"/>
      <c r="D857" s="16"/>
      <c r="E857" s="16"/>
      <c r="F857" s="16"/>
      <c r="G857" s="17"/>
    </row>
    <row r="858" spans="1:7" ht="18" customHeight="1">
      <c r="A858" s="16"/>
      <c r="B858" s="16"/>
      <c r="C858" s="25"/>
      <c r="D858" s="16"/>
      <c r="E858" s="16"/>
      <c r="F858" s="16"/>
      <c r="G858" s="17"/>
    </row>
    <row r="859" spans="1:7" ht="18" customHeight="1">
      <c r="A859" s="16"/>
      <c r="B859" s="16"/>
      <c r="C859" s="25"/>
      <c r="D859" s="16"/>
      <c r="E859" s="16"/>
      <c r="F859" s="16"/>
      <c r="G859" s="17"/>
    </row>
    <row r="860" spans="1:7" ht="18" customHeight="1">
      <c r="A860" s="16"/>
      <c r="B860" s="16"/>
      <c r="C860" s="25"/>
      <c r="D860" s="16"/>
      <c r="E860" s="16"/>
      <c r="F860" s="16"/>
      <c r="G860" s="17"/>
    </row>
    <row r="861" spans="1:7" ht="18" customHeight="1">
      <c r="A861" s="16"/>
      <c r="B861" s="16"/>
      <c r="C861" s="25"/>
      <c r="D861" s="16"/>
      <c r="E861" s="16"/>
      <c r="F861" s="16"/>
      <c r="G861" s="17"/>
    </row>
    <row r="862" spans="1:7" ht="18" customHeight="1">
      <c r="A862" s="16"/>
      <c r="B862" s="16"/>
      <c r="C862" s="25"/>
      <c r="D862" s="16"/>
      <c r="E862" s="16"/>
      <c r="F862" s="16"/>
      <c r="G862" s="17"/>
    </row>
    <row r="863" spans="1:7" ht="18" customHeight="1">
      <c r="A863" s="16"/>
      <c r="B863" s="16"/>
      <c r="C863" s="25"/>
      <c r="D863" s="16"/>
      <c r="E863" s="16"/>
      <c r="F863" s="16"/>
      <c r="G863" s="17"/>
    </row>
    <row r="864" spans="1:7" ht="18" customHeight="1">
      <c r="A864" s="16"/>
      <c r="B864" s="16"/>
      <c r="C864" s="25"/>
      <c r="D864" s="16"/>
      <c r="E864" s="16"/>
      <c r="F864" s="16"/>
      <c r="G864" s="17"/>
    </row>
    <row r="865" spans="1:7" ht="18" customHeight="1">
      <c r="A865" s="16"/>
      <c r="B865" s="16"/>
      <c r="C865" s="25"/>
      <c r="D865" s="16"/>
      <c r="E865" s="16"/>
      <c r="F865" s="16"/>
      <c r="G865" s="17"/>
    </row>
    <row r="866" spans="1:7" ht="18" customHeight="1">
      <c r="A866" s="16"/>
      <c r="B866" s="16"/>
      <c r="C866" s="25"/>
      <c r="D866" s="16"/>
      <c r="E866" s="16"/>
      <c r="F866" s="16"/>
      <c r="G866" s="17"/>
    </row>
    <row r="867" spans="1:7" ht="18" customHeight="1">
      <c r="A867" s="16"/>
      <c r="B867" s="16"/>
      <c r="C867" s="25"/>
      <c r="D867" s="16"/>
      <c r="E867" s="16"/>
      <c r="F867" s="16"/>
      <c r="G867" s="17"/>
    </row>
    <row r="868" spans="1:7" ht="18" customHeight="1">
      <c r="A868" s="16"/>
      <c r="B868" s="16"/>
      <c r="C868" s="25"/>
      <c r="D868" s="16"/>
      <c r="E868" s="16"/>
      <c r="F868" s="16"/>
      <c r="G868" s="17"/>
    </row>
    <row r="869" spans="1:7" ht="18" customHeight="1">
      <c r="A869" s="16"/>
      <c r="B869" s="16"/>
      <c r="C869" s="25"/>
      <c r="D869" s="16"/>
      <c r="E869" s="16"/>
      <c r="F869" s="16"/>
      <c r="G869" s="17"/>
    </row>
    <row r="870" spans="1:7" ht="18" customHeight="1">
      <c r="A870" s="16"/>
      <c r="B870" s="16"/>
      <c r="C870" s="25"/>
      <c r="D870" s="16"/>
      <c r="E870" s="16"/>
      <c r="F870" s="16"/>
      <c r="G870" s="17"/>
    </row>
    <row r="871" spans="1:7" ht="18" customHeight="1">
      <c r="A871" s="16"/>
      <c r="B871" s="16"/>
      <c r="C871" s="25"/>
      <c r="D871" s="16"/>
      <c r="E871" s="16"/>
      <c r="F871" s="16"/>
      <c r="G871" s="17"/>
    </row>
    <row r="872" spans="1:7" ht="18" customHeight="1">
      <c r="A872" s="16"/>
      <c r="B872" s="16"/>
      <c r="C872" s="25"/>
      <c r="D872" s="16"/>
      <c r="E872" s="16"/>
      <c r="F872" s="16"/>
      <c r="G872" s="17"/>
    </row>
    <row r="873" spans="1:7" ht="18" customHeight="1">
      <c r="A873" s="16"/>
      <c r="B873" s="16"/>
      <c r="C873" s="25"/>
      <c r="D873" s="16"/>
      <c r="E873" s="16"/>
      <c r="F873" s="16"/>
      <c r="G873" s="17"/>
    </row>
    <row r="874" spans="1:7" ht="18" customHeight="1">
      <c r="A874" s="16"/>
      <c r="B874" s="16"/>
      <c r="C874" s="25"/>
      <c r="D874" s="16"/>
      <c r="E874" s="16"/>
      <c r="F874" s="16"/>
      <c r="G874" s="17"/>
    </row>
    <row r="875" spans="1:7" ht="18" customHeight="1">
      <c r="A875" s="16"/>
      <c r="B875" s="16"/>
      <c r="C875" s="25"/>
      <c r="D875" s="16"/>
      <c r="E875" s="16"/>
      <c r="F875" s="16"/>
      <c r="G875" s="17"/>
    </row>
    <row r="876" spans="1:7" ht="18" customHeight="1">
      <c r="A876" s="16"/>
      <c r="B876" s="16"/>
      <c r="C876" s="25"/>
      <c r="D876" s="16"/>
      <c r="E876" s="16"/>
      <c r="F876" s="16"/>
      <c r="G876" s="17"/>
    </row>
    <row r="877" spans="1:7" ht="18" customHeight="1">
      <c r="A877" s="16"/>
      <c r="B877" s="16"/>
      <c r="C877" s="25"/>
      <c r="D877" s="16"/>
      <c r="E877" s="16"/>
      <c r="F877" s="16"/>
      <c r="G877" s="17"/>
    </row>
    <row r="878" spans="1:7" ht="18" customHeight="1">
      <c r="A878" s="16"/>
      <c r="B878" s="16"/>
      <c r="C878" s="25"/>
      <c r="D878" s="16"/>
      <c r="E878" s="16"/>
      <c r="F878" s="16"/>
      <c r="G878" s="17"/>
    </row>
    <row r="879" spans="1:7" ht="18" customHeight="1">
      <c r="A879" s="16"/>
      <c r="B879" s="16"/>
      <c r="C879" s="25"/>
      <c r="D879" s="16"/>
      <c r="E879" s="16"/>
      <c r="F879" s="16"/>
      <c r="G879" s="17"/>
    </row>
    <row r="880" spans="1:7" ht="18" customHeight="1">
      <c r="A880" s="16"/>
      <c r="B880" s="16"/>
      <c r="C880" s="25"/>
      <c r="D880" s="16"/>
      <c r="E880" s="16"/>
      <c r="F880" s="16"/>
      <c r="G880" s="17"/>
    </row>
    <row r="881" spans="1:7" ht="18" customHeight="1">
      <c r="A881" s="16"/>
      <c r="B881" s="16"/>
      <c r="C881" s="25"/>
      <c r="D881" s="16"/>
      <c r="E881" s="16"/>
      <c r="F881" s="16"/>
      <c r="G881" s="17"/>
    </row>
    <row r="882" spans="1:7" ht="18" customHeight="1">
      <c r="A882" s="16"/>
      <c r="B882" s="16"/>
      <c r="C882" s="25"/>
      <c r="D882" s="16"/>
      <c r="E882" s="16"/>
      <c r="F882" s="16"/>
      <c r="G882" s="17"/>
    </row>
    <row r="883" spans="1:7" ht="18" customHeight="1">
      <c r="A883" s="16"/>
      <c r="B883" s="16"/>
      <c r="C883" s="25"/>
      <c r="D883" s="16"/>
      <c r="E883" s="16"/>
      <c r="F883" s="16"/>
      <c r="G883" s="17"/>
    </row>
    <row r="884" spans="1:7" ht="18" customHeight="1">
      <c r="A884" s="16"/>
      <c r="B884" s="16"/>
      <c r="C884" s="25"/>
      <c r="D884" s="16"/>
      <c r="E884" s="16"/>
      <c r="F884" s="16"/>
      <c r="G884" s="17"/>
    </row>
    <row r="885" spans="1:7" ht="18" customHeight="1">
      <c r="A885" s="16"/>
      <c r="B885" s="16"/>
      <c r="C885" s="25"/>
      <c r="D885" s="16"/>
      <c r="E885" s="16"/>
      <c r="F885" s="16"/>
      <c r="G885" s="17"/>
    </row>
    <row r="886" spans="1:7" ht="18" customHeight="1">
      <c r="A886" s="16"/>
      <c r="B886" s="16"/>
      <c r="C886" s="25"/>
      <c r="D886" s="16"/>
      <c r="E886" s="16"/>
      <c r="F886" s="16"/>
      <c r="G886" s="17"/>
    </row>
    <row r="887" spans="1:7" ht="18" customHeight="1">
      <c r="A887" s="16"/>
      <c r="B887" s="16"/>
      <c r="C887" s="25"/>
      <c r="D887" s="16"/>
      <c r="E887" s="16"/>
      <c r="F887" s="16"/>
      <c r="G887" s="17"/>
    </row>
    <row r="888" spans="1:7" ht="18" customHeight="1">
      <c r="A888" s="16"/>
      <c r="B888" s="16"/>
      <c r="C888" s="25"/>
      <c r="D888" s="16"/>
      <c r="E888" s="16"/>
      <c r="F888" s="16"/>
      <c r="G888" s="17"/>
    </row>
    <row r="889" spans="1:7" ht="18" customHeight="1">
      <c r="A889" s="16"/>
      <c r="B889" s="16"/>
      <c r="C889" s="25"/>
      <c r="D889" s="16"/>
      <c r="E889" s="16"/>
      <c r="F889" s="16"/>
      <c r="G889" s="17"/>
    </row>
    <row r="890" spans="1:7" ht="18" customHeight="1">
      <c r="A890" s="16"/>
      <c r="B890" s="16"/>
      <c r="C890" s="25"/>
      <c r="D890" s="16"/>
      <c r="E890" s="16"/>
      <c r="F890" s="16"/>
      <c r="G890" s="17"/>
    </row>
    <row r="891" spans="1:7" ht="18" customHeight="1">
      <c r="A891" s="16"/>
      <c r="B891" s="16"/>
      <c r="C891" s="25"/>
      <c r="D891" s="16"/>
      <c r="E891" s="16"/>
      <c r="F891" s="16"/>
      <c r="G891" s="17"/>
    </row>
    <row r="892" spans="1:7" ht="18" customHeight="1">
      <c r="A892" s="16"/>
      <c r="B892" s="16"/>
      <c r="C892" s="25"/>
      <c r="D892" s="16"/>
      <c r="E892" s="16"/>
      <c r="F892" s="16"/>
      <c r="G892" s="17"/>
    </row>
    <row r="893" spans="1:7" ht="18" customHeight="1">
      <c r="A893" s="16"/>
      <c r="B893" s="16"/>
      <c r="C893" s="25"/>
      <c r="D893" s="16"/>
      <c r="E893" s="16"/>
      <c r="F893" s="16"/>
      <c r="G893" s="17"/>
    </row>
    <row r="894" spans="1:7" ht="18" customHeight="1">
      <c r="A894" s="16"/>
      <c r="B894" s="16"/>
      <c r="C894" s="25"/>
      <c r="D894" s="16"/>
      <c r="E894" s="16"/>
      <c r="F894" s="16"/>
      <c r="G894" s="17"/>
    </row>
    <row r="895" spans="1:7" ht="18" customHeight="1">
      <c r="A895" s="16"/>
      <c r="B895" s="16"/>
      <c r="C895" s="25"/>
      <c r="D895" s="16"/>
      <c r="E895" s="16"/>
      <c r="F895" s="16"/>
      <c r="G895" s="17"/>
    </row>
    <row r="896" spans="1:7" ht="18" customHeight="1">
      <c r="A896" s="16"/>
      <c r="B896" s="16"/>
      <c r="C896" s="25"/>
      <c r="D896" s="16"/>
      <c r="E896" s="16"/>
      <c r="F896" s="16"/>
      <c r="G896" s="17"/>
    </row>
    <row r="897" spans="1:7" ht="18" customHeight="1">
      <c r="A897" s="16"/>
      <c r="B897" s="16"/>
      <c r="C897" s="25"/>
      <c r="D897" s="16"/>
      <c r="E897" s="16"/>
      <c r="F897" s="16"/>
      <c r="G897" s="17"/>
    </row>
    <row r="898" spans="1:7" ht="18" customHeight="1">
      <c r="A898" s="16"/>
      <c r="B898" s="16"/>
      <c r="C898" s="25"/>
      <c r="D898" s="16"/>
      <c r="E898" s="16"/>
      <c r="F898" s="16"/>
      <c r="G898" s="17"/>
    </row>
    <row r="899" spans="1:7" ht="18" customHeight="1">
      <c r="A899" s="16"/>
      <c r="B899" s="16"/>
      <c r="C899" s="25"/>
      <c r="D899" s="16"/>
      <c r="E899" s="16"/>
      <c r="F899" s="16"/>
      <c r="G899" s="17"/>
    </row>
    <row r="900" spans="1:7" ht="18" customHeight="1">
      <c r="A900" s="16"/>
      <c r="B900" s="16"/>
      <c r="C900" s="25"/>
      <c r="D900" s="16"/>
      <c r="E900" s="16"/>
      <c r="F900" s="16"/>
      <c r="G900" s="17"/>
    </row>
    <row r="901" spans="1:7" ht="18" customHeight="1">
      <c r="A901" s="16"/>
      <c r="B901" s="16"/>
      <c r="C901" s="25"/>
      <c r="D901" s="16"/>
      <c r="E901" s="16"/>
      <c r="F901" s="16"/>
      <c r="G901" s="17"/>
    </row>
    <row r="902" spans="1:7" ht="18" customHeight="1">
      <c r="A902" s="16"/>
      <c r="B902" s="16"/>
      <c r="C902" s="25"/>
      <c r="D902" s="16"/>
      <c r="E902" s="16"/>
      <c r="F902" s="16"/>
      <c r="G902" s="17"/>
    </row>
    <row r="903" spans="1:7" ht="18" customHeight="1">
      <c r="A903" s="16"/>
      <c r="B903" s="16"/>
      <c r="C903" s="25"/>
      <c r="D903" s="16"/>
      <c r="E903" s="16"/>
      <c r="F903" s="16"/>
      <c r="G903" s="17"/>
    </row>
    <row r="904" spans="1:7" ht="18" customHeight="1">
      <c r="A904" s="16"/>
      <c r="B904" s="16"/>
      <c r="C904" s="25"/>
      <c r="D904" s="16"/>
      <c r="E904" s="16"/>
      <c r="F904" s="16"/>
      <c r="G904" s="17"/>
    </row>
    <row r="905" spans="1:7" ht="18" customHeight="1">
      <c r="A905" s="16"/>
      <c r="B905" s="16"/>
      <c r="C905" s="25"/>
      <c r="D905" s="16"/>
      <c r="E905" s="16"/>
      <c r="F905" s="16"/>
      <c r="G905" s="17"/>
    </row>
    <row r="906" spans="1:7" ht="18" customHeight="1">
      <c r="A906" s="16"/>
      <c r="B906" s="16"/>
      <c r="C906" s="25"/>
      <c r="D906" s="16"/>
      <c r="E906" s="16"/>
      <c r="F906" s="16"/>
      <c r="G906" s="17"/>
    </row>
    <row r="907" spans="1:7" ht="18" customHeight="1">
      <c r="A907" s="16"/>
      <c r="B907" s="16"/>
      <c r="C907" s="25"/>
      <c r="D907" s="16"/>
      <c r="E907" s="16"/>
      <c r="F907" s="16"/>
      <c r="G907" s="17"/>
    </row>
    <row r="908" spans="1:7" ht="18" customHeight="1">
      <c r="A908" s="16"/>
      <c r="B908" s="16"/>
      <c r="C908" s="25"/>
      <c r="D908" s="16"/>
      <c r="E908" s="16"/>
      <c r="F908" s="16"/>
      <c r="G908" s="17"/>
    </row>
    <row r="909" spans="1:7" ht="18" customHeight="1">
      <c r="A909" s="16"/>
      <c r="B909" s="16"/>
      <c r="C909" s="25"/>
      <c r="D909" s="16"/>
      <c r="E909" s="16"/>
      <c r="F909" s="16"/>
      <c r="G909" s="17"/>
    </row>
    <row r="910" spans="1:7" ht="18" customHeight="1">
      <c r="A910" s="16"/>
      <c r="B910" s="16"/>
      <c r="C910" s="25"/>
      <c r="D910" s="16"/>
      <c r="E910" s="16"/>
      <c r="F910" s="16"/>
      <c r="G910" s="17"/>
    </row>
    <row r="911" spans="1:7" ht="18" customHeight="1">
      <c r="A911" s="16"/>
      <c r="B911" s="16"/>
      <c r="C911" s="25"/>
      <c r="D911" s="16"/>
      <c r="E911" s="16"/>
      <c r="F911" s="16"/>
      <c r="G911" s="17"/>
    </row>
    <row r="912" spans="1:7" ht="18" customHeight="1">
      <c r="A912" s="16"/>
      <c r="B912" s="16"/>
      <c r="C912" s="25"/>
      <c r="D912" s="16"/>
      <c r="E912" s="16"/>
      <c r="F912" s="16"/>
      <c r="G912" s="17"/>
    </row>
    <row r="913" spans="1:7" ht="18" customHeight="1">
      <c r="A913" s="16"/>
      <c r="B913" s="16"/>
      <c r="C913" s="25"/>
      <c r="D913" s="16"/>
      <c r="E913" s="16"/>
      <c r="F913" s="16"/>
      <c r="G913" s="17"/>
    </row>
    <row r="914" spans="1:7" ht="18" customHeight="1">
      <c r="A914" s="16"/>
      <c r="B914" s="16"/>
      <c r="C914" s="25"/>
      <c r="D914" s="16"/>
      <c r="E914" s="16"/>
      <c r="F914" s="16"/>
      <c r="G914" s="17"/>
    </row>
    <row r="915" spans="1:7" ht="18" customHeight="1">
      <c r="A915" s="16"/>
      <c r="B915" s="16"/>
      <c r="C915" s="25"/>
      <c r="D915" s="16"/>
      <c r="E915" s="16"/>
      <c r="F915" s="16"/>
      <c r="G915" s="17"/>
    </row>
    <row r="916" spans="1:7" ht="18" customHeight="1">
      <c r="A916" s="16"/>
      <c r="B916" s="16"/>
      <c r="C916" s="25"/>
      <c r="D916" s="16"/>
      <c r="E916" s="16"/>
      <c r="F916" s="16"/>
      <c r="G916" s="17"/>
    </row>
    <row r="917" spans="1:7" ht="18" customHeight="1">
      <c r="A917" s="16"/>
      <c r="B917" s="16"/>
      <c r="C917" s="25"/>
      <c r="D917" s="16"/>
      <c r="E917" s="16"/>
      <c r="F917" s="16"/>
      <c r="G917" s="17"/>
    </row>
    <row r="918" spans="1:7" ht="18" customHeight="1">
      <c r="A918" s="16"/>
      <c r="B918" s="16"/>
      <c r="C918" s="25"/>
      <c r="D918" s="16"/>
      <c r="E918" s="16"/>
      <c r="F918" s="16"/>
      <c r="G918" s="17"/>
    </row>
    <row r="919" spans="1:7" ht="18" customHeight="1">
      <c r="A919" s="16"/>
      <c r="B919" s="16"/>
      <c r="C919" s="25"/>
      <c r="D919" s="16"/>
      <c r="E919" s="16"/>
      <c r="F919" s="16"/>
      <c r="G919" s="17"/>
    </row>
    <row r="920" spans="1:7" ht="18" customHeight="1">
      <c r="A920" s="16"/>
      <c r="B920" s="16"/>
      <c r="C920" s="25"/>
      <c r="D920" s="16"/>
      <c r="E920" s="16"/>
      <c r="F920" s="16"/>
      <c r="G920" s="17"/>
    </row>
    <row r="921" spans="1:7" ht="18" customHeight="1">
      <c r="A921" s="16"/>
      <c r="B921" s="16"/>
      <c r="C921" s="25"/>
      <c r="D921" s="16"/>
      <c r="E921" s="16"/>
      <c r="F921" s="16"/>
      <c r="G921" s="17"/>
    </row>
    <row r="922" spans="1:7" ht="18" customHeight="1">
      <c r="A922" s="16"/>
      <c r="B922" s="16"/>
      <c r="C922" s="25"/>
      <c r="D922" s="16"/>
      <c r="E922" s="16"/>
      <c r="F922" s="16"/>
      <c r="G922" s="17"/>
    </row>
    <row r="923" spans="1:7" ht="18" customHeight="1">
      <c r="A923" s="16"/>
      <c r="B923" s="16"/>
      <c r="C923" s="25"/>
      <c r="D923" s="16"/>
      <c r="E923" s="16"/>
      <c r="F923" s="16"/>
      <c r="G923" s="17"/>
    </row>
    <row r="924" spans="1:7" ht="18" customHeight="1">
      <c r="A924" s="16"/>
      <c r="B924" s="16"/>
      <c r="C924" s="25"/>
      <c r="D924" s="16"/>
      <c r="E924" s="16"/>
      <c r="F924" s="16"/>
      <c r="G924" s="17"/>
    </row>
    <row r="925" spans="1:7" ht="18" customHeight="1">
      <c r="A925" s="16"/>
      <c r="B925" s="16"/>
      <c r="C925" s="25"/>
      <c r="D925" s="16"/>
      <c r="E925" s="16"/>
      <c r="F925" s="16"/>
      <c r="G925" s="17"/>
    </row>
    <row r="926" spans="1:7" ht="18" customHeight="1">
      <c r="A926" s="16"/>
      <c r="B926" s="16"/>
      <c r="C926" s="25"/>
      <c r="D926" s="16"/>
      <c r="E926" s="16"/>
      <c r="F926" s="16"/>
      <c r="G926" s="17"/>
    </row>
    <row r="927" spans="1:7" ht="18" customHeight="1">
      <c r="A927" s="16"/>
      <c r="B927" s="16"/>
      <c r="C927" s="25"/>
      <c r="D927" s="16"/>
      <c r="E927" s="16"/>
      <c r="F927" s="16"/>
      <c r="G927" s="17"/>
    </row>
    <row r="928" spans="1:7" ht="18" customHeight="1">
      <c r="A928" s="16"/>
      <c r="B928" s="16"/>
      <c r="C928" s="25"/>
      <c r="D928" s="16"/>
      <c r="E928" s="16"/>
      <c r="F928" s="16"/>
      <c r="G928" s="17"/>
    </row>
    <row r="929" spans="1:7" ht="18" customHeight="1">
      <c r="A929" s="16"/>
      <c r="B929" s="16"/>
      <c r="C929" s="25"/>
      <c r="D929" s="16"/>
      <c r="E929" s="16"/>
      <c r="F929" s="16"/>
      <c r="G929" s="17"/>
    </row>
    <row r="930" spans="1:7" ht="18" customHeight="1">
      <c r="A930" s="16"/>
      <c r="B930" s="16"/>
      <c r="C930" s="25"/>
      <c r="D930" s="16"/>
      <c r="E930" s="16"/>
      <c r="F930" s="16"/>
      <c r="G930" s="17"/>
    </row>
    <row r="931" spans="1:7" ht="18" customHeight="1">
      <c r="A931" s="16"/>
      <c r="B931" s="16"/>
      <c r="C931" s="25"/>
      <c r="D931" s="16"/>
      <c r="E931" s="16"/>
      <c r="F931" s="16"/>
      <c r="G931" s="17"/>
    </row>
    <row r="932" spans="1:7" ht="18" customHeight="1">
      <c r="A932" s="16"/>
      <c r="B932" s="16"/>
      <c r="C932" s="25"/>
      <c r="D932" s="16"/>
      <c r="E932" s="16"/>
      <c r="F932" s="16"/>
      <c r="G932" s="17"/>
    </row>
    <row r="933" spans="1:7" ht="18" customHeight="1">
      <c r="A933" s="16"/>
      <c r="B933" s="16"/>
      <c r="C933" s="25"/>
      <c r="D933" s="16"/>
      <c r="E933" s="16"/>
      <c r="F933" s="16"/>
      <c r="G933" s="17"/>
    </row>
    <row r="934" spans="1:7" ht="18" customHeight="1">
      <c r="A934" s="16"/>
      <c r="B934" s="16"/>
      <c r="C934" s="25"/>
      <c r="D934" s="16"/>
      <c r="E934" s="16"/>
      <c r="F934" s="16"/>
      <c r="G934" s="17"/>
    </row>
    <row r="935" spans="1:7" ht="18" customHeight="1">
      <c r="A935" s="16"/>
      <c r="B935" s="16"/>
      <c r="C935" s="25"/>
      <c r="D935" s="16"/>
      <c r="E935" s="16"/>
      <c r="F935" s="16"/>
      <c r="G935" s="17"/>
    </row>
    <row r="936" spans="1:7" ht="18" customHeight="1">
      <c r="A936" s="16"/>
      <c r="B936" s="16"/>
      <c r="C936" s="25"/>
      <c r="D936" s="16"/>
      <c r="E936" s="16"/>
      <c r="F936" s="16"/>
      <c r="G936" s="17"/>
    </row>
    <row r="937" spans="1:7" ht="18" customHeight="1">
      <c r="A937" s="16"/>
      <c r="B937" s="16"/>
      <c r="C937" s="25"/>
      <c r="D937" s="16"/>
      <c r="E937" s="16"/>
      <c r="F937" s="16"/>
      <c r="G937" s="17"/>
    </row>
    <row r="938" spans="1:7" ht="18" customHeight="1">
      <c r="A938" s="16"/>
      <c r="B938" s="16"/>
      <c r="C938" s="25"/>
      <c r="D938" s="16"/>
      <c r="E938" s="16"/>
      <c r="F938" s="16"/>
      <c r="G938" s="17"/>
    </row>
    <row r="939" spans="1:7" ht="18" customHeight="1">
      <c r="A939" s="16"/>
      <c r="B939" s="16"/>
      <c r="C939" s="25"/>
      <c r="D939" s="16"/>
      <c r="E939" s="16"/>
      <c r="F939" s="16"/>
      <c r="G939" s="17"/>
    </row>
    <row r="940" spans="1:7" ht="18" customHeight="1">
      <c r="A940" s="16"/>
      <c r="B940" s="16"/>
      <c r="C940" s="25"/>
      <c r="D940" s="16"/>
      <c r="E940" s="16"/>
      <c r="F940" s="16"/>
      <c r="G940" s="17"/>
    </row>
    <row r="941" spans="1:7" ht="18" customHeight="1">
      <c r="A941" s="16"/>
      <c r="B941" s="16"/>
      <c r="C941" s="25"/>
      <c r="D941" s="16"/>
      <c r="E941" s="16"/>
      <c r="F941" s="16"/>
      <c r="G941" s="17"/>
    </row>
    <row r="942" spans="1:7" ht="18" customHeight="1">
      <c r="A942" s="16"/>
      <c r="B942" s="16"/>
      <c r="C942" s="25"/>
      <c r="D942" s="16"/>
      <c r="E942" s="16"/>
      <c r="F942" s="16"/>
      <c r="G942" s="17"/>
    </row>
    <row r="943" spans="1:7" ht="18" customHeight="1">
      <c r="A943" s="16"/>
      <c r="B943" s="16"/>
      <c r="C943" s="25"/>
      <c r="D943" s="16"/>
      <c r="E943" s="16"/>
      <c r="F943" s="16"/>
      <c r="G943" s="17"/>
    </row>
    <row r="944" spans="1:7" ht="18" customHeight="1">
      <c r="A944" s="16"/>
      <c r="B944" s="16"/>
      <c r="C944" s="25"/>
      <c r="D944" s="16"/>
      <c r="E944" s="16"/>
      <c r="F944" s="16"/>
      <c r="G944" s="17"/>
    </row>
    <row r="945" spans="1:7" ht="18" customHeight="1">
      <c r="A945" s="16"/>
      <c r="B945" s="16"/>
      <c r="C945" s="25"/>
      <c r="D945" s="16"/>
      <c r="E945" s="16"/>
      <c r="F945" s="16"/>
      <c r="G945" s="17"/>
    </row>
    <row r="946" spans="1:7" ht="18" customHeight="1">
      <c r="A946" s="16"/>
      <c r="B946" s="16"/>
      <c r="C946" s="25"/>
      <c r="D946" s="16"/>
      <c r="E946" s="16"/>
      <c r="F946" s="16"/>
      <c r="G946" s="17"/>
    </row>
    <row r="947" spans="1:7" ht="18" customHeight="1">
      <c r="A947" s="16"/>
      <c r="B947" s="16"/>
      <c r="C947" s="25"/>
      <c r="D947" s="16"/>
      <c r="E947" s="16"/>
      <c r="F947" s="16"/>
      <c r="G947" s="17"/>
    </row>
    <row r="948" spans="1:7" ht="18" customHeight="1">
      <c r="A948" s="16"/>
      <c r="B948" s="16"/>
      <c r="C948" s="25"/>
      <c r="D948" s="16"/>
      <c r="E948" s="16"/>
      <c r="F948" s="16"/>
      <c r="G948" s="17"/>
    </row>
    <row r="949" spans="1:7" ht="18" customHeight="1">
      <c r="A949" s="16"/>
      <c r="B949" s="16"/>
      <c r="C949" s="25"/>
      <c r="D949" s="16"/>
      <c r="E949" s="16"/>
      <c r="F949" s="16"/>
      <c r="G949" s="17"/>
    </row>
    <row r="950" spans="1:7" ht="18" customHeight="1">
      <c r="A950" s="16"/>
      <c r="B950" s="16"/>
      <c r="C950" s="25"/>
      <c r="D950" s="16"/>
      <c r="E950" s="16"/>
      <c r="F950" s="16"/>
      <c r="G950" s="17"/>
    </row>
    <row r="951" spans="1:7" ht="18" customHeight="1">
      <c r="A951" s="16"/>
      <c r="B951" s="16"/>
      <c r="C951" s="25"/>
      <c r="D951" s="16"/>
      <c r="E951" s="16"/>
      <c r="F951" s="16"/>
      <c r="G951" s="17"/>
    </row>
    <row r="952" spans="1:7" ht="18" customHeight="1">
      <c r="A952" s="16"/>
      <c r="B952" s="16"/>
      <c r="C952" s="25"/>
      <c r="D952" s="16"/>
      <c r="E952" s="16"/>
      <c r="F952" s="16"/>
      <c r="G952" s="17"/>
    </row>
    <row r="953" spans="1:7" ht="18" customHeight="1">
      <c r="A953" s="16"/>
      <c r="B953" s="16"/>
      <c r="C953" s="25"/>
      <c r="D953" s="16"/>
      <c r="E953" s="16"/>
      <c r="F953" s="16"/>
      <c r="G953" s="17"/>
    </row>
    <row r="954" spans="1:7" ht="18" customHeight="1">
      <c r="A954" s="16"/>
      <c r="B954" s="16"/>
      <c r="C954" s="25"/>
      <c r="D954" s="16"/>
      <c r="E954" s="16"/>
      <c r="F954" s="16"/>
      <c r="G954" s="17"/>
    </row>
    <row r="955" spans="1:7" ht="18" customHeight="1">
      <c r="A955" s="16"/>
      <c r="B955" s="16"/>
      <c r="C955" s="25"/>
      <c r="D955" s="16"/>
      <c r="E955" s="16"/>
      <c r="F955" s="16"/>
      <c r="G955" s="17"/>
    </row>
    <row r="956" spans="1:7" ht="18" customHeight="1">
      <c r="A956" s="16"/>
      <c r="B956" s="16"/>
      <c r="C956" s="25"/>
      <c r="D956" s="16"/>
      <c r="E956" s="16"/>
      <c r="F956" s="16"/>
      <c r="G956" s="17"/>
    </row>
    <row r="957" spans="1:7" ht="18" customHeight="1">
      <c r="A957" s="16"/>
      <c r="B957" s="16"/>
      <c r="C957" s="25"/>
      <c r="D957" s="16"/>
      <c r="E957" s="16"/>
      <c r="F957" s="16"/>
      <c r="G957" s="17"/>
    </row>
    <row r="958" spans="1:7" ht="18" customHeight="1">
      <c r="A958" s="16"/>
      <c r="B958" s="16"/>
      <c r="C958" s="25"/>
      <c r="D958" s="16"/>
      <c r="E958" s="16"/>
      <c r="F958" s="16"/>
      <c r="G958" s="17"/>
    </row>
    <row r="959" spans="1:7" ht="18" customHeight="1">
      <c r="A959" s="16"/>
      <c r="B959" s="16"/>
      <c r="C959" s="25"/>
      <c r="D959" s="16"/>
      <c r="E959" s="16"/>
      <c r="F959" s="16"/>
      <c r="G959" s="17"/>
    </row>
    <row r="960" spans="1:7" ht="18" customHeight="1">
      <c r="A960" s="16"/>
      <c r="B960" s="16"/>
      <c r="C960" s="25"/>
      <c r="D960" s="16"/>
      <c r="E960" s="16"/>
      <c r="F960" s="16"/>
      <c r="G960" s="17"/>
    </row>
    <row r="961" spans="1:7" ht="18" customHeight="1">
      <c r="A961" s="16"/>
      <c r="B961" s="16"/>
      <c r="C961" s="25"/>
      <c r="D961" s="16"/>
      <c r="E961" s="16"/>
      <c r="F961" s="16"/>
      <c r="G961" s="17"/>
    </row>
    <row r="962" spans="1:7" ht="18" customHeight="1">
      <c r="A962" s="16"/>
      <c r="B962" s="16"/>
      <c r="C962" s="25"/>
      <c r="D962" s="16"/>
      <c r="E962" s="16"/>
      <c r="F962" s="16"/>
      <c r="G962" s="17"/>
    </row>
    <row r="963" spans="1:7" ht="18" customHeight="1">
      <c r="A963" s="16"/>
      <c r="B963" s="16"/>
      <c r="C963" s="25"/>
      <c r="D963" s="16"/>
      <c r="E963" s="16"/>
      <c r="F963" s="16"/>
      <c r="G963" s="17"/>
    </row>
    <row r="964" spans="1:7" ht="18" customHeight="1">
      <c r="A964" s="16"/>
      <c r="B964" s="16"/>
      <c r="C964" s="25"/>
      <c r="D964" s="16"/>
      <c r="E964" s="16"/>
      <c r="F964" s="16"/>
      <c r="G964" s="17"/>
    </row>
    <row r="965" spans="1:7" ht="18" customHeight="1">
      <c r="A965" s="16"/>
      <c r="B965" s="16"/>
      <c r="C965" s="25"/>
      <c r="D965" s="16"/>
      <c r="E965" s="16"/>
      <c r="F965" s="16"/>
      <c r="G965" s="17"/>
    </row>
    <row r="966" spans="1:7" ht="18" customHeight="1">
      <c r="A966" s="16"/>
      <c r="B966" s="16"/>
      <c r="C966" s="25"/>
      <c r="D966" s="16"/>
      <c r="E966" s="16"/>
      <c r="F966" s="16"/>
      <c r="G966" s="17"/>
    </row>
    <row r="967" spans="1:7" ht="18" customHeight="1">
      <c r="A967" s="16"/>
      <c r="B967" s="16"/>
      <c r="C967" s="25"/>
      <c r="D967" s="16"/>
      <c r="E967" s="16"/>
      <c r="F967" s="16"/>
      <c r="G967" s="17"/>
    </row>
    <row r="968" spans="1:7" ht="18" customHeight="1">
      <c r="A968" s="16"/>
      <c r="B968" s="16"/>
      <c r="C968" s="25"/>
      <c r="D968" s="16"/>
      <c r="E968" s="16"/>
      <c r="F968" s="16"/>
      <c r="G968" s="17"/>
    </row>
    <row r="969" spans="1:7" ht="18" customHeight="1">
      <c r="A969" s="16"/>
      <c r="B969" s="16"/>
      <c r="C969" s="25"/>
      <c r="D969" s="16"/>
      <c r="E969" s="16"/>
      <c r="F969" s="16"/>
      <c r="G969" s="17"/>
    </row>
    <row r="970" spans="1:7" ht="18" customHeight="1">
      <c r="A970" s="16"/>
      <c r="B970" s="16"/>
      <c r="C970" s="25"/>
      <c r="D970" s="16"/>
      <c r="E970" s="16"/>
      <c r="F970" s="16"/>
      <c r="G970" s="17"/>
    </row>
    <row r="971" spans="1:7" ht="18" customHeight="1">
      <c r="A971" s="16"/>
      <c r="B971" s="16"/>
      <c r="C971" s="25"/>
      <c r="D971" s="16"/>
      <c r="E971" s="16"/>
      <c r="F971" s="16"/>
      <c r="G971" s="17"/>
    </row>
    <row r="972" spans="1:7" ht="18" customHeight="1">
      <c r="A972" s="16"/>
      <c r="B972" s="16"/>
      <c r="C972" s="25"/>
      <c r="D972" s="16"/>
      <c r="E972" s="16"/>
      <c r="F972" s="16"/>
      <c r="G972" s="17"/>
    </row>
    <row r="973" spans="1:7" ht="18" customHeight="1">
      <c r="A973" s="16"/>
      <c r="B973" s="16"/>
      <c r="C973" s="25"/>
      <c r="D973" s="16"/>
      <c r="E973" s="16"/>
      <c r="F973" s="16"/>
      <c r="G973" s="17"/>
    </row>
    <row r="974" spans="1:7" ht="18" customHeight="1">
      <c r="A974" s="16"/>
      <c r="B974" s="16"/>
      <c r="C974" s="25"/>
      <c r="D974" s="16"/>
      <c r="E974" s="16"/>
      <c r="F974" s="16"/>
      <c r="G974" s="17"/>
    </row>
    <row r="975" spans="1:7" ht="18" customHeight="1">
      <c r="A975" s="16"/>
      <c r="B975" s="16"/>
      <c r="C975" s="25"/>
      <c r="D975" s="16"/>
      <c r="E975" s="16"/>
      <c r="F975" s="16"/>
      <c r="G975" s="17"/>
    </row>
    <row r="976" spans="1:7" ht="18" customHeight="1">
      <c r="A976" s="16"/>
      <c r="B976" s="16"/>
      <c r="C976" s="25"/>
      <c r="D976" s="16"/>
      <c r="E976" s="16"/>
      <c r="F976" s="16"/>
      <c r="G976" s="17"/>
    </row>
    <row r="977" spans="1:7" ht="18" customHeight="1">
      <c r="A977" s="16"/>
      <c r="B977" s="16"/>
      <c r="C977" s="25"/>
      <c r="D977" s="16"/>
      <c r="E977" s="16"/>
      <c r="F977" s="16"/>
      <c r="G977" s="17"/>
    </row>
    <row r="978" spans="1:7" ht="18" customHeight="1">
      <c r="A978" s="16"/>
      <c r="B978" s="16"/>
      <c r="C978" s="25"/>
      <c r="D978" s="16"/>
      <c r="E978" s="16"/>
      <c r="F978" s="16"/>
      <c r="G978" s="17"/>
    </row>
    <row r="979" spans="1:7" ht="18" customHeight="1">
      <c r="A979" s="16"/>
      <c r="B979" s="16"/>
      <c r="C979" s="25"/>
      <c r="D979" s="16"/>
      <c r="E979" s="16"/>
      <c r="F979" s="16"/>
      <c r="G979" s="17"/>
    </row>
    <row r="980" spans="1:7" ht="18" customHeight="1">
      <c r="A980" s="16"/>
      <c r="B980" s="16"/>
      <c r="C980" s="25"/>
      <c r="D980" s="16"/>
      <c r="E980" s="16"/>
      <c r="F980" s="16"/>
      <c r="G980" s="17"/>
    </row>
    <row r="981" spans="1:7" ht="18" customHeight="1">
      <c r="A981" s="16"/>
      <c r="B981" s="16"/>
      <c r="C981" s="25"/>
      <c r="D981" s="16"/>
      <c r="E981" s="16"/>
      <c r="F981" s="16"/>
      <c r="G981" s="17"/>
    </row>
    <row r="982" spans="1:7" ht="18" customHeight="1">
      <c r="A982" s="16"/>
      <c r="B982" s="16"/>
      <c r="C982" s="25"/>
      <c r="D982" s="16"/>
      <c r="E982" s="16"/>
      <c r="F982" s="16"/>
      <c r="G982" s="17"/>
    </row>
    <row r="983" spans="1:7" ht="18" customHeight="1">
      <c r="A983" s="16"/>
      <c r="B983" s="16"/>
      <c r="C983" s="25"/>
      <c r="D983" s="16"/>
      <c r="E983" s="16"/>
      <c r="F983" s="16"/>
      <c r="G983" s="17"/>
    </row>
    <row r="984" spans="1:7" ht="18" customHeight="1">
      <c r="A984" s="16"/>
      <c r="B984" s="16"/>
      <c r="C984" s="25"/>
      <c r="D984" s="16"/>
      <c r="E984" s="16"/>
      <c r="F984" s="16"/>
      <c r="G984" s="17"/>
    </row>
    <row r="985" spans="1:7" ht="18" customHeight="1">
      <c r="A985" s="16"/>
      <c r="B985" s="16"/>
      <c r="C985" s="25"/>
      <c r="D985" s="16"/>
      <c r="E985" s="16"/>
      <c r="F985" s="16"/>
      <c r="G985" s="17"/>
    </row>
    <row r="986" spans="1:7" ht="18" customHeight="1">
      <c r="A986" s="16"/>
      <c r="B986" s="16"/>
      <c r="C986" s="25"/>
      <c r="D986" s="16"/>
      <c r="E986" s="16"/>
      <c r="F986" s="16"/>
      <c r="G986" s="17"/>
    </row>
    <row r="987" spans="1:7" ht="18" customHeight="1">
      <c r="A987" s="16"/>
      <c r="B987" s="16"/>
      <c r="C987" s="25"/>
      <c r="D987" s="16"/>
      <c r="E987" s="16"/>
      <c r="F987" s="16"/>
      <c r="G987" s="17"/>
    </row>
    <row r="988" spans="1:7" ht="18" customHeight="1">
      <c r="A988" s="16"/>
      <c r="B988" s="16"/>
      <c r="C988" s="25"/>
      <c r="D988" s="16"/>
      <c r="E988" s="16"/>
      <c r="F988" s="16"/>
      <c r="G988" s="17"/>
    </row>
    <row r="989" spans="1:7" ht="18" customHeight="1">
      <c r="A989" s="16"/>
      <c r="B989" s="16"/>
      <c r="C989" s="25"/>
      <c r="D989" s="16"/>
      <c r="E989" s="16"/>
      <c r="F989" s="16"/>
      <c r="G989" s="17"/>
    </row>
    <row r="990" spans="1:7" ht="18" customHeight="1">
      <c r="A990" s="16"/>
      <c r="B990" s="16"/>
      <c r="C990" s="25"/>
      <c r="D990" s="16"/>
      <c r="E990" s="16"/>
      <c r="F990" s="16"/>
      <c r="G990" s="17"/>
    </row>
    <row r="991" spans="1:7" ht="18" customHeight="1">
      <c r="A991" s="16"/>
      <c r="B991" s="16"/>
      <c r="C991" s="25"/>
      <c r="D991" s="16"/>
      <c r="E991" s="16"/>
      <c r="F991" s="16"/>
      <c r="G991" s="17"/>
    </row>
    <row r="992" spans="1:7" ht="18" customHeight="1">
      <c r="A992" s="16"/>
      <c r="B992" s="16"/>
      <c r="C992" s="25"/>
      <c r="D992" s="16"/>
      <c r="E992" s="16"/>
      <c r="F992" s="16"/>
      <c r="G992" s="17"/>
    </row>
    <row r="993" spans="1:7" ht="18" customHeight="1">
      <c r="A993" s="16"/>
      <c r="B993" s="16"/>
      <c r="C993" s="25"/>
      <c r="D993" s="16"/>
      <c r="E993" s="16"/>
      <c r="F993" s="16"/>
      <c r="G993" s="17"/>
    </row>
    <row r="994" spans="1:7" ht="18" customHeight="1">
      <c r="A994" s="16"/>
      <c r="B994" s="16"/>
      <c r="C994" s="25"/>
      <c r="D994" s="16"/>
      <c r="E994" s="16"/>
      <c r="F994" s="16"/>
      <c r="G994" s="17"/>
    </row>
    <row r="995" spans="1:7" ht="18" customHeight="1">
      <c r="A995" s="16"/>
      <c r="B995" s="16"/>
      <c r="C995" s="25"/>
      <c r="D995" s="16"/>
      <c r="E995" s="16"/>
      <c r="F995" s="16"/>
      <c r="G995" s="17"/>
    </row>
    <row r="996" spans="1:7" ht="18" customHeight="1">
      <c r="A996" s="16"/>
      <c r="B996" s="16"/>
      <c r="C996" s="25"/>
      <c r="D996" s="16"/>
      <c r="E996" s="16"/>
      <c r="F996" s="16"/>
      <c r="G996" s="17"/>
    </row>
    <row r="997" spans="1:7" ht="18" customHeight="1">
      <c r="A997" s="16"/>
      <c r="B997" s="16"/>
      <c r="C997" s="25"/>
      <c r="D997" s="16"/>
      <c r="E997" s="16"/>
      <c r="F997" s="16"/>
      <c r="G997" s="17"/>
    </row>
    <row r="998" spans="1:7" ht="18" customHeight="1">
      <c r="A998" s="16"/>
      <c r="B998" s="16"/>
      <c r="C998" s="25"/>
      <c r="D998" s="16"/>
      <c r="E998" s="16"/>
      <c r="F998" s="16"/>
      <c r="G998" s="17"/>
    </row>
    <row r="999" spans="1:7" ht="18" customHeight="1">
      <c r="A999" s="16"/>
      <c r="B999" s="16"/>
      <c r="C999" s="25"/>
      <c r="D999" s="16"/>
      <c r="E999" s="16"/>
      <c r="F999" s="16"/>
      <c r="G999" s="17"/>
    </row>
    <row r="1000" spans="1:7" ht="18" customHeight="1">
      <c r="A1000" s="16"/>
      <c r="B1000" s="16"/>
      <c r="C1000" s="25"/>
      <c r="D1000" s="16"/>
      <c r="E1000" s="16"/>
      <c r="F1000" s="16"/>
      <c r="G1000" s="17"/>
    </row>
    <row r="1001" spans="1:7" ht="18" customHeight="1">
      <c r="A1001" s="16"/>
      <c r="B1001" s="16"/>
      <c r="C1001" s="25"/>
      <c r="D1001" s="16"/>
      <c r="E1001" s="16"/>
      <c r="F1001" s="16"/>
      <c r="G1001" s="17"/>
    </row>
    <row r="1002" spans="1:7" ht="18" customHeight="1">
      <c r="A1002" s="16"/>
      <c r="B1002" s="16"/>
      <c r="C1002" s="25"/>
      <c r="D1002" s="16"/>
      <c r="E1002" s="16"/>
      <c r="F1002" s="16"/>
      <c r="G1002" s="17"/>
    </row>
    <row r="1003" spans="1:7" ht="18" customHeight="1">
      <c r="A1003" s="16"/>
      <c r="B1003" s="16"/>
      <c r="C1003" s="25"/>
      <c r="D1003" s="16"/>
      <c r="E1003" s="16"/>
      <c r="F1003" s="16"/>
      <c r="G1003" s="17"/>
    </row>
    <row r="1004" spans="1:7" ht="18" customHeight="1">
      <c r="A1004" s="16"/>
      <c r="B1004" s="16"/>
      <c r="C1004" s="25"/>
      <c r="D1004" s="16"/>
      <c r="E1004" s="16"/>
      <c r="F1004" s="16"/>
      <c r="G1004" s="17"/>
    </row>
    <row r="1005" spans="1:7" ht="18" customHeight="1">
      <c r="A1005" s="16"/>
      <c r="B1005" s="16"/>
      <c r="C1005" s="25"/>
      <c r="D1005" s="16"/>
      <c r="E1005" s="16"/>
      <c r="F1005" s="16"/>
      <c r="G1005" s="17"/>
    </row>
    <row r="1006" spans="1:7" ht="18" customHeight="1">
      <c r="A1006" s="16"/>
      <c r="B1006" s="16"/>
      <c r="C1006" s="25"/>
      <c r="D1006" s="16"/>
      <c r="E1006" s="16"/>
      <c r="F1006" s="16"/>
      <c r="G1006" s="17"/>
    </row>
    <row r="1007" spans="1:7" ht="18" customHeight="1">
      <c r="A1007" s="16"/>
      <c r="B1007" s="16"/>
      <c r="C1007" s="25"/>
      <c r="D1007" s="16"/>
      <c r="E1007" s="16"/>
      <c r="F1007" s="16"/>
      <c r="G1007" s="17"/>
    </row>
    <row r="1008" spans="1:7" ht="18" customHeight="1">
      <c r="A1008" s="16"/>
      <c r="B1008" s="16"/>
      <c r="C1008" s="25"/>
      <c r="D1008" s="16"/>
      <c r="E1008" s="16"/>
      <c r="F1008" s="16"/>
      <c r="G1008" s="17"/>
    </row>
  </sheetData>
  <mergeCells count="2">
    <mergeCell ref="A4:B4"/>
    <mergeCell ref="A6:F6"/>
  </mergeCells>
  <dataValidations count="1">
    <dataValidation type="list" allowBlank="1" showErrorMessage="1" sqref="D8:D12" xr:uid="{00000000-0002-0000-0300-000000000000}">
      <formula1>"Status,Outstanding,Paid"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Inventory</vt:lpstr>
      <vt:lpstr>Sales</vt:lpstr>
      <vt:lpstr>Customer_Tabs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Aldean Smith (ZA)</dc:creator>
  <cp:lastModifiedBy>Aldean Smith (ZA)</cp:lastModifiedBy>
  <dcterms:created xsi:type="dcterms:W3CDTF">2026-04-16T13:28:09Z</dcterms:created>
  <dcterms:modified xsi:type="dcterms:W3CDTF">2026-04-16T13:30:15Z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b93d1f-0ad4-4957-b824-94d94a84c1c8_Enabled">
    <vt:lpwstr>true</vt:lpwstr>
  </property>
  <property fmtid="{D5CDD505-2E9C-101B-9397-08002B2CF9AE}" pid="3" name="MSIP_Label_e5b93d1f-0ad4-4957-b824-94d94a84c1c8_SetDate">
    <vt:lpwstr>2026-04-16T13:27:41Z</vt:lpwstr>
  </property>
  <property fmtid="{D5CDD505-2E9C-101B-9397-08002B2CF9AE}" pid="4" name="MSIP_Label_e5b93d1f-0ad4-4957-b824-94d94a84c1c8_Method">
    <vt:lpwstr>Standard</vt:lpwstr>
  </property>
  <property fmtid="{D5CDD505-2E9C-101B-9397-08002B2CF9AE}" pid="5" name="MSIP_Label_e5b93d1f-0ad4-4957-b824-94d94a84c1c8_Name">
    <vt:lpwstr>Internal Only</vt:lpwstr>
  </property>
  <property fmtid="{D5CDD505-2E9C-101B-9397-08002B2CF9AE}" pid="6" name="MSIP_Label_e5b93d1f-0ad4-4957-b824-94d94a84c1c8_SiteId">
    <vt:lpwstr>5be1f46d-495f-465b-9507-996e8c8cdcb6</vt:lpwstr>
  </property>
  <property fmtid="{D5CDD505-2E9C-101B-9397-08002B2CF9AE}" pid="7" name="MSIP_Label_e5b93d1f-0ad4-4957-b824-94d94a84c1c8_ActionId">
    <vt:lpwstr>5da743e7-e8c1-4e2c-bf28-876b0a053c61</vt:lpwstr>
  </property>
  <property fmtid="{D5CDD505-2E9C-101B-9397-08002B2CF9AE}" pid="8" name="MSIP_Label_e5b93d1f-0ad4-4957-b824-94d94a84c1c8_ContentBits">
    <vt:lpwstr>0</vt:lpwstr>
  </property>
  <property fmtid="{D5CDD505-2E9C-101B-9397-08002B2CF9AE}" pid="9" name="MSIP_Label_e5b93d1f-0ad4-4957-b824-94d94a84c1c8_Tag">
    <vt:lpwstr>10, 3, 0, 1</vt:lpwstr>
  </property>
</Properties>
</file>